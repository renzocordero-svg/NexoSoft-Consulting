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 MM\Desktop\NexoSoft-Consulting-Branches\NexoSoft-Consulting\NexoSoft_Consulting\Linea Base\FMX\Linea Base 1 - Inicio y requisitos\FMX-DOCUMENTACIÓN\"/>
    </mc:Choice>
  </mc:AlternateContent>
  <xr:revisionPtr revIDLastSave="0" documentId="13_ncr:1_{1DF89BC9-0188-4498-9FA8-CB1E63E75D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onogra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IZpXKdvFxr7gAVXcTBqsWjnyuAcBDWQ1lheRoZovZ8c="/>
    </ext>
  </extLst>
</workbook>
</file>

<file path=xl/calcChain.xml><?xml version="1.0" encoding="utf-8"?>
<calcChain xmlns="http://schemas.openxmlformats.org/spreadsheetml/2006/main">
  <c r="H56" i="1" l="1"/>
  <c r="H54" i="1"/>
  <c r="H42" i="1"/>
  <c r="H29" i="1"/>
</calcChain>
</file>

<file path=xl/sharedStrings.xml><?xml version="1.0" encoding="utf-8"?>
<sst xmlns="http://schemas.openxmlformats.org/spreadsheetml/2006/main" count="192" uniqueCount="154">
  <si>
    <t>CRONOGRAMA DEL PROYECTO</t>
  </si>
  <si>
    <t>Ruta del repositorio Github:</t>
  </si>
  <si>
    <t>Grupo:</t>
  </si>
  <si>
    <t>Proyecto:</t>
  </si>
  <si>
    <t>FERREMAX (FMX) — Sistema Web de Gestión para Ferretería</t>
  </si>
  <si>
    <t>Tipo plataforma</t>
  </si>
  <si>
    <t>Web (Laravel 11 + MySQL 8.0 sobre contenedores Docker)</t>
  </si>
  <si>
    <t xml:space="preserve">Enfoque de desarrollo: </t>
  </si>
  <si>
    <t>Proceso Unificado (RUP) con entregas incrementales por hito</t>
  </si>
  <si>
    <t>Inicio:</t>
  </si>
  <si>
    <t>Fin:</t>
  </si>
  <si>
    <t>Actividades</t>
  </si>
  <si>
    <t>Item/Artefacto</t>
  </si>
  <si>
    <t>Nomenclatura</t>
  </si>
  <si>
    <t>Apellido/Rol</t>
  </si>
  <si>
    <t>Inicio</t>
  </si>
  <si>
    <t>Fin</t>
  </si>
  <si>
    <t>% de Avance</t>
  </si>
  <si>
    <t>Elaboración del acta de constitución del proyecto</t>
  </si>
  <si>
    <t>Acta de Constitución del Proyecto</t>
  </si>
  <si>
    <t>FMX_ACP.docx</t>
  </si>
  <si>
    <t>Cordero Alfaro</t>
  </si>
  <si>
    <t>Elaboración del cronograma detallado y línea base en 3 hitos</t>
  </si>
  <si>
    <t>Cronograma del proyecto</t>
  </si>
  <si>
    <t>FMX_CDP.xlsx</t>
  </si>
  <si>
    <t>Elaboracion del documento de negocio</t>
  </si>
  <si>
    <t>Documento de negocio</t>
  </si>
  <si>
    <t>FMX_DN.docx</t>
  </si>
  <si>
    <t>Creación y configuración del repositorio GitHub: ramas, plantillas de PR y README</t>
  </si>
  <si>
    <t>Repositorio y guía de contribución</t>
  </si>
  <si>
    <t>FMX-RGC / README.md</t>
  </si>
  <si>
    <t>Alegre Mayanga</t>
  </si>
  <si>
    <t>Configuración del entorno Docker (app, nginx, db) y docker-compose</t>
  </si>
  <si>
    <t>Entorno de ejecución contenerizado</t>
  </si>
  <si>
    <t>FMX_ED.docx / FMX_ED.zip</t>
  </si>
  <si>
    <t>Mallqui Meza</t>
  </si>
  <si>
    <t>Elaboración de la lista de requisitos del sistema</t>
  </si>
  <si>
    <t>Lista de requisitos del sistema | Lista de requisitos no funcionales</t>
  </si>
  <si>
    <t>FMX_LRS.xlsx / FMX_RNF</t>
  </si>
  <si>
    <t>Vegas Villalva</t>
  </si>
  <si>
    <t>Elaboración de especificación del caso de uso C01 — CUS-01: Iniciar sesión</t>
  </si>
  <si>
    <t>Caso de uso C01</t>
  </si>
  <si>
    <t>FMX_CU1.docx</t>
  </si>
  <si>
    <t>Castillejo Huancas</t>
  </si>
  <si>
    <t>Elaboración de especificación del caso de uso C02 — CUS-02: Cerrar sesión</t>
  </si>
  <si>
    <t>Caso de uso C02</t>
  </si>
  <si>
    <t>FMX_CU2.docx</t>
  </si>
  <si>
    <t>Elaboración de especificación del caso de uso C03 — CUS-03: Mantener productos</t>
  </si>
  <si>
    <t>Caso de uso C03</t>
  </si>
  <si>
    <t>FMX_CU3.docx</t>
  </si>
  <si>
    <t>Elaboración de especificación del caso de uso C04 — CUS-04: Registrar venta</t>
  </si>
  <si>
    <t>Caso de uso C04</t>
  </si>
  <si>
    <t>FMX_CU4.docx</t>
  </si>
  <si>
    <t>Elaboración de especificación del caso de uso C05 — CUS-05: Consultar factura</t>
  </si>
  <si>
    <t>Caso de uso C05</t>
  </si>
  <si>
    <t>FMX_CU5.docx</t>
  </si>
  <si>
    <t>Elaboración de especificación del caso de uso C06 — CUS-06: Consultar historial de ventas</t>
  </si>
  <si>
    <t>Caso de uso C06</t>
  </si>
  <si>
    <t>FMX_CU6.docx</t>
  </si>
  <si>
    <t>Elaboración de especificación del caso de uso C07 — CUS-07: Consultar movimientos de stock</t>
  </si>
  <si>
    <t>Caso de uso C07</t>
  </si>
  <si>
    <t>FMX_CU7.docx</t>
  </si>
  <si>
    <t>*</t>
  </si>
  <si>
    <t>Elaboración de especificación del caso de uso C08 — CUS-08: Mantener usuarios</t>
  </si>
  <si>
    <t>Caso de uso C08</t>
  </si>
  <si>
    <t>FMX_CU8.docx</t>
  </si>
  <si>
    <t>Roman Hurtado</t>
  </si>
  <si>
    <t>Elaboración de especificación del caso de uso C09 — CUS-09: Generar reportes de ventas</t>
  </si>
  <si>
    <t>Caso de uso C09</t>
  </si>
  <si>
    <t>FMX_CU9.docx</t>
  </si>
  <si>
    <t>Consolidación de la matriz de trazabilidad RF ↔ CUS</t>
  </si>
  <si>
    <t>Matriz de trazabilidad RF ↔ CUS</t>
  </si>
  <si>
    <t>FMX_MT.docx</t>
  </si>
  <si>
    <t>Ejecución de revisión cruzada entre pares y corrección de observaciones</t>
  </si>
  <si>
    <t>Acta de revisión por pares</t>
  </si>
  <si>
    <t>FMX_ARP.docx</t>
  </si>
  <si>
    <t>Todo el equipo</t>
  </si>
  <si>
    <t>Entrega del Hito 1 y revisión con el docente</t>
  </si>
  <si>
    <t>Entregable Hito 1 (tag v0.1-hito1)</t>
  </si>
  <si>
    <t>FMX_H1.zip</t>
  </si>
  <si>
    <t>H1: Inicio y Requisitos</t>
  </si>
  <si>
    <t>Elaboración de la arquitectura del sistema</t>
  </si>
  <si>
    <t>Diagrama de arquitectura lógica, modelo relacional, migraciones, diagramas de despliegue, componentes, secuencia y clases</t>
  </si>
  <si>
    <t>FMX_AS.docx</t>
  </si>
  <si>
    <t>Castillejo / Mallqui / Alegre / Vegas</t>
  </si>
  <si>
    <t>Desarrollo e implementación del caso de uso C01 — CUS-01: Iniciar sesión</t>
  </si>
  <si>
    <t>Código del caso de uso C01</t>
  </si>
  <si>
    <t>feature/cu_1</t>
  </si>
  <si>
    <t>Desarrollo e implementación del caso de uso C02 — CUS-02: Cerrar sesión</t>
  </si>
  <si>
    <t>Código del caso de uso C02</t>
  </si>
  <si>
    <t>feature/cu_2</t>
  </si>
  <si>
    <t>Desarrollo e implementación del caso de uso C03 — CUS-03: Mantener productos</t>
  </si>
  <si>
    <t>Código del caso de uso C03</t>
  </si>
  <si>
    <t>feature/cu_3</t>
  </si>
  <si>
    <t>Desarrollo e implementación del caso de uso C04 — CUS-04: Registrar venta</t>
  </si>
  <si>
    <t>Código del caso de uso C04</t>
  </si>
  <si>
    <t>feature/cu_4</t>
  </si>
  <si>
    <t>Desarrollo e implementación del caso de uso C05 — CUS-05: Consultar factura</t>
  </si>
  <si>
    <t>Código del caso de uso C05</t>
  </si>
  <si>
    <t>feature/cu_5</t>
  </si>
  <si>
    <t>Desarrollo e implementación del caso de uso C06 — CUS-06: Consultar historial de ventas</t>
  </si>
  <si>
    <t>Código del caso de uso C06</t>
  </si>
  <si>
    <t>feature/cu_6</t>
  </si>
  <si>
    <t>Desarrollo e implementación del caso de uso C07 — CUS-07: Consultar movimientos de stock</t>
  </si>
  <si>
    <t>Código del caso de uso C07</t>
  </si>
  <si>
    <t>feature/cu_7</t>
  </si>
  <si>
    <t>Desarrollo e implementación del caso de uso C08 — CUS-08: Mantener usuarios</t>
  </si>
  <si>
    <t>Código del caso de uso C08</t>
  </si>
  <si>
    <t>feature/cu_8</t>
  </si>
  <si>
    <t>Desarrollo e implementación del caso de uso C09 — CUS-09: Generar reportes de ventas</t>
  </si>
  <si>
    <t>Código del caso de uso C09</t>
  </si>
  <si>
    <t>feature/cu_9</t>
  </si>
  <si>
    <t>Integración de todos los casos de uso desarrollados en la rama develop</t>
  </si>
  <si>
    <t>Rama de integración</t>
  </si>
  <si>
    <t>develop</t>
  </si>
  <si>
    <t>Demo interna y entrega del Hito 2</t>
  </si>
  <si>
    <t>Entregable Hito 2 (tag v0.5-hito2)</t>
  </si>
  <si>
    <t>FMX-H2.zip</t>
  </si>
  <si>
    <t>H2: Diseño y Desarrollo Core</t>
  </si>
  <si>
    <t>Elaboración del manual de usuario y manual técnico de despliegue</t>
  </si>
  <si>
    <t>Manual de usuario y manual técnico</t>
  </si>
  <si>
    <t>FMX_MU.docx / FMX-MT.docx</t>
  </si>
  <si>
    <t>Elaboración del plan de pruebas y diseño de casos de prueba por caso de uso</t>
  </si>
  <si>
    <t>Plan de pruebas y casos de prueba</t>
  </si>
  <si>
    <t>FMX_PCP.docx</t>
  </si>
  <si>
    <t>Ejecución de pruebas unitarias con PHPUnit por caso de uso</t>
  </si>
  <si>
    <t>Suite de pruebas unitarias</t>
  </si>
  <si>
    <t>tests/Unit</t>
  </si>
  <si>
    <t>Ejecución de pruebas de integración del flujo completo de venta y procesos</t>
  </si>
  <si>
    <t>Informe de pruebas de integración</t>
  </si>
  <si>
    <t>FMX_IPI.docx</t>
  </si>
  <si>
    <t>Ejecución de pruebas de concurrencia y de transacciones atómicas</t>
  </si>
  <si>
    <t>Informe de pruebas de concurrencia</t>
  </si>
  <si>
    <t>FMX_IPC.docx</t>
  </si>
  <si>
    <t>Ejecución de pruebas de seguridad: roles, hash de contraseñas y sesiones</t>
  </si>
  <si>
    <t>Informe de pruebas de seguridad</t>
  </si>
  <si>
    <t>FMX_IPS.docx</t>
  </si>
  <si>
    <t>Corrección de los defectos detectados y reprueba</t>
  </si>
  <si>
    <t>Registro de defectos y corrección</t>
  </si>
  <si>
    <t>FMX_RDF.xlsx</t>
  </si>
  <si>
    <t>Consolidación de Pull Requests finales a main con revisión cruzada</t>
  </si>
  <si>
    <t>Pull Requests aprobados a main</t>
  </si>
  <si>
    <t>main</t>
  </si>
  <si>
    <t>Publicación del Release v1.0: etiquetado y publicación en GitHub</t>
  </si>
  <si>
    <t>Release del software</t>
  </si>
  <si>
    <t>v1.0</t>
  </si>
  <si>
    <t>Elaboración del documento de cierre y lecciones aprendidas</t>
  </si>
  <si>
    <t>Documento de cierre del proyecto</t>
  </si>
  <si>
    <t>FMX_DCP.docx</t>
  </si>
  <si>
    <t>Presentación y sustentación final del proyecto</t>
  </si>
  <si>
    <t>Presentación de sustentación final</t>
  </si>
  <si>
    <t>FMX_PSF.pptx</t>
  </si>
  <si>
    <t>H3: Pruebas y Entrega Final</t>
  </si>
  <si>
    <t>AVANCE GLOBAL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</si>
</sst>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11" x14ac:knownFonts="1"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b/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</font>
    <font>
      <b/>
      <sz val="12"/>
      <color rgb="FFFFFFFF"/>
      <name val="Calibri"/>
    </font>
    <font>
      <sz val="12"/>
      <color theme="1"/>
      <name val="Calibri"/>
    </font>
    <font>
      <b/>
      <sz val="14"/>
      <color rgb="FFC00000"/>
      <name val="Calibri"/>
    </font>
    <font>
      <b/>
      <sz val="12"/>
      <color rgb="FFC00000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DE7"/>
        <bgColor rgb="FFFFFDE7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0" borderId="0" xfId="0" applyFont="1" applyAlignment="1"/>
    <xf numFmtId="0" fontId="6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165" fontId="5" fillId="0" borderId="3" xfId="0" applyNumberFormat="1" applyFont="1" applyBorder="1" applyAlignment="1">
      <alignment horizontal="center" vertical="center"/>
    </xf>
    <xf numFmtId="9" fontId="5" fillId="3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4" xfId="0" applyFont="1" applyFill="1" applyBorder="1" applyAlignment="1"/>
    <xf numFmtId="9" fontId="9" fillId="2" borderId="4" xfId="0" applyNumberFormat="1" applyFont="1" applyFill="1" applyBorder="1" applyAlignment="1"/>
    <xf numFmtId="0" fontId="5" fillId="0" borderId="3" xfId="0" applyFont="1" applyBorder="1" applyAlignment="1">
      <alignment horizontal="left" vertical="center"/>
    </xf>
    <xf numFmtId="9" fontId="5" fillId="3" borderId="3" xfId="0" applyNumberFormat="1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left" vertical="center"/>
    </xf>
    <xf numFmtId="9" fontId="10" fillId="2" borderId="4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0" fontId="0" fillId="0" borderId="0" xfId="0" applyFont="1" applyAlignment="1"/>
    <xf numFmtId="165" fontId="8" fillId="2" borderId="1" xfId="0" applyNumberFormat="1" applyFont="1" applyFill="1" applyBorder="1" applyAlignment="1">
      <alignment horizontal="left" vertical="center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fgColor rgb="FFD8F0E4"/>
          <bgColor rgb="FFD8F0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0"/>
  <sheetViews>
    <sheetView showGridLines="0" tabSelected="1" workbookViewId="0">
      <pane xSplit="1" ySplit="10" topLeftCell="B31" activePane="bottomRight" state="frozen"/>
      <selection pane="topRight" activeCell="B1" sqref="B1"/>
      <selection pane="bottomLeft" activeCell="A11" sqref="A11"/>
      <selection pane="bottomRight" activeCell="H33" sqref="H33"/>
    </sheetView>
  </sheetViews>
  <sheetFormatPr baseColWidth="10" defaultColWidth="14.42578125" defaultRowHeight="15" customHeight="1" x14ac:dyDescent="0.25"/>
  <cols>
    <col min="1" max="1" width="11.42578125" customWidth="1"/>
    <col min="2" max="2" width="53.28515625" customWidth="1"/>
    <col min="3" max="3" width="30.42578125" customWidth="1"/>
    <col min="4" max="4" width="22.85546875" customWidth="1"/>
    <col min="5" max="5" width="32.7109375" customWidth="1"/>
    <col min="6" max="6" width="13.28515625" customWidth="1"/>
    <col min="7" max="7" width="16.85546875" customWidth="1"/>
    <col min="8" max="8" width="18.85546875" customWidth="1"/>
  </cols>
  <sheetData>
    <row r="1" spans="1:8" ht="24" customHeight="1" x14ac:dyDescent="0.25">
      <c r="B1" s="19" t="s">
        <v>0</v>
      </c>
      <c r="C1" s="18"/>
      <c r="D1" s="18"/>
      <c r="E1" s="18"/>
      <c r="F1" s="18"/>
      <c r="G1" s="18"/>
      <c r="H1" s="18"/>
    </row>
    <row r="2" spans="1:8" x14ac:dyDescent="0.25">
      <c r="B2" s="1" t="s">
        <v>1</v>
      </c>
      <c r="C2" s="20"/>
      <c r="D2" s="16"/>
      <c r="E2" s="16"/>
    </row>
    <row r="3" spans="1:8" x14ac:dyDescent="0.25">
      <c r="B3" s="1" t="s">
        <v>2</v>
      </c>
      <c r="C3" s="21">
        <v>2</v>
      </c>
      <c r="D3" s="16"/>
      <c r="E3" s="16"/>
    </row>
    <row r="4" spans="1:8" x14ac:dyDescent="0.25">
      <c r="B4" s="1" t="s">
        <v>3</v>
      </c>
      <c r="C4" s="21" t="s">
        <v>4</v>
      </c>
      <c r="D4" s="16"/>
      <c r="E4" s="16"/>
    </row>
    <row r="5" spans="1:8" x14ac:dyDescent="0.25">
      <c r="B5" s="1" t="s">
        <v>5</v>
      </c>
      <c r="C5" s="21" t="s">
        <v>6</v>
      </c>
      <c r="D5" s="16"/>
      <c r="E5" s="16"/>
    </row>
    <row r="6" spans="1:8" x14ac:dyDescent="0.25">
      <c r="B6" s="1" t="s">
        <v>7</v>
      </c>
      <c r="C6" s="21" t="s">
        <v>8</v>
      </c>
      <c r="D6" s="16"/>
      <c r="E6" s="16"/>
    </row>
    <row r="7" spans="1:8" x14ac:dyDescent="0.25">
      <c r="B7" s="1" t="s">
        <v>9</v>
      </c>
      <c r="C7" s="15">
        <v>46272</v>
      </c>
      <c r="D7" s="16"/>
      <c r="E7" s="16"/>
    </row>
    <row r="8" spans="1:8" x14ac:dyDescent="0.25">
      <c r="B8" s="1" t="s">
        <v>10</v>
      </c>
      <c r="C8" s="15">
        <v>46360</v>
      </c>
      <c r="D8" s="16"/>
      <c r="E8" s="16"/>
    </row>
    <row r="10" spans="1:8" ht="21.75" customHeight="1" x14ac:dyDescent="0.25"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</row>
    <row r="11" spans="1:8" ht="34.5" customHeight="1" x14ac:dyDescent="0.25">
      <c r="A11" s="3"/>
      <c r="B11" s="4" t="s">
        <v>18</v>
      </c>
      <c r="C11" s="4" t="s">
        <v>19</v>
      </c>
      <c r="D11" s="5" t="s">
        <v>20</v>
      </c>
      <c r="E11" s="4" t="s">
        <v>21</v>
      </c>
      <c r="F11" s="6">
        <v>46272</v>
      </c>
      <c r="G11" s="6">
        <v>46274</v>
      </c>
      <c r="H11" s="7">
        <v>1</v>
      </c>
    </row>
    <row r="12" spans="1:8" ht="34.5" customHeight="1" x14ac:dyDescent="0.25">
      <c r="A12" s="3"/>
      <c r="B12" s="4" t="s">
        <v>22</v>
      </c>
      <c r="C12" s="4" t="s">
        <v>23</v>
      </c>
      <c r="D12" s="5" t="s">
        <v>24</v>
      </c>
      <c r="E12" s="4" t="s">
        <v>21</v>
      </c>
      <c r="F12" s="6">
        <v>46272</v>
      </c>
      <c r="G12" s="6">
        <v>46274</v>
      </c>
      <c r="H12" s="7">
        <v>1</v>
      </c>
    </row>
    <row r="13" spans="1:8" ht="34.5" customHeight="1" x14ac:dyDescent="0.25">
      <c r="A13" s="3"/>
      <c r="B13" s="4" t="s">
        <v>25</v>
      </c>
      <c r="C13" s="4" t="s">
        <v>26</v>
      </c>
      <c r="D13" s="5" t="s">
        <v>27</v>
      </c>
      <c r="E13" s="4" t="s">
        <v>21</v>
      </c>
      <c r="F13" s="6">
        <v>46272</v>
      </c>
      <c r="G13" s="6">
        <v>46274</v>
      </c>
      <c r="H13" s="7">
        <v>1</v>
      </c>
    </row>
    <row r="14" spans="1:8" ht="34.5" customHeight="1" x14ac:dyDescent="0.25">
      <c r="A14" s="3"/>
      <c r="B14" s="4" t="s">
        <v>28</v>
      </c>
      <c r="C14" s="4" t="s">
        <v>29</v>
      </c>
      <c r="D14" s="5" t="s">
        <v>30</v>
      </c>
      <c r="E14" s="4" t="s">
        <v>31</v>
      </c>
      <c r="F14" s="6">
        <v>46272</v>
      </c>
      <c r="G14" s="6">
        <v>46273</v>
      </c>
      <c r="H14" s="7">
        <v>1</v>
      </c>
    </row>
    <row r="15" spans="1:8" ht="34.5" customHeight="1" x14ac:dyDescent="0.25">
      <c r="A15" s="3"/>
      <c r="B15" s="4" t="s">
        <v>32</v>
      </c>
      <c r="C15" s="4" t="s">
        <v>33</v>
      </c>
      <c r="D15" s="5" t="s">
        <v>34</v>
      </c>
      <c r="E15" s="4" t="s">
        <v>35</v>
      </c>
      <c r="F15" s="6">
        <v>46273</v>
      </c>
      <c r="G15" s="6">
        <v>46283</v>
      </c>
      <c r="H15" s="7">
        <v>1</v>
      </c>
    </row>
    <row r="16" spans="1:8" ht="34.5" customHeight="1" x14ac:dyDescent="0.25">
      <c r="A16" s="3"/>
      <c r="B16" s="4" t="s">
        <v>36</v>
      </c>
      <c r="C16" s="4" t="s">
        <v>37</v>
      </c>
      <c r="D16" s="5" t="s">
        <v>38</v>
      </c>
      <c r="E16" s="4" t="s">
        <v>39</v>
      </c>
      <c r="F16" s="6">
        <v>46273</v>
      </c>
      <c r="G16" s="6">
        <v>46277</v>
      </c>
      <c r="H16" s="7">
        <v>1</v>
      </c>
    </row>
    <row r="17" spans="1:8" ht="34.5" customHeight="1" x14ac:dyDescent="0.25">
      <c r="A17" s="3"/>
      <c r="B17" s="4" t="s">
        <v>40</v>
      </c>
      <c r="C17" s="4" t="s">
        <v>41</v>
      </c>
      <c r="D17" s="5" t="s">
        <v>42</v>
      </c>
      <c r="E17" s="4" t="s">
        <v>43</v>
      </c>
      <c r="F17" s="6">
        <v>46274</v>
      </c>
      <c r="G17" s="6">
        <v>46280</v>
      </c>
      <c r="H17" s="7">
        <v>1</v>
      </c>
    </row>
    <row r="18" spans="1:8" ht="34.5" customHeight="1" x14ac:dyDescent="0.25">
      <c r="A18" s="3"/>
      <c r="B18" s="4" t="s">
        <v>44</v>
      </c>
      <c r="C18" s="4" t="s">
        <v>45</v>
      </c>
      <c r="D18" s="5" t="s">
        <v>46</v>
      </c>
      <c r="E18" s="4" t="s">
        <v>43</v>
      </c>
      <c r="F18" s="6">
        <v>46274</v>
      </c>
      <c r="G18" s="6">
        <v>46280</v>
      </c>
      <c r="H18" s="7">
        <v>1</v>
      </c>
    </row>
    <row r="19" spans="1:8" ht="34.5" customHeight="1" x14ac:dyDescent="0.25">
      <c r="A19" s="3"/>
      <c r="B19" s="4" t="s">
        <v>47</v>
      </c>
      <c r="C19" s="4" t="s">
        <v>48</v>
      </c>
      <c r="D19" s="5" t="s">
        <v>49</v>
      </c>
      <c r="E19" s="4" t="s">
        <v>35</v>
      </c>
      <c r="F19" s="6">
        <v>46274</v>
      </c>
      <c r="G19" s="6">
        <v>46280</v>
      </c>
      <c r="H19" s="7">
        <v>1</v>
      </c>
    </row>
    <row r="20" spans="1:8" ht="34.5" customHeight="1" x14ac:dyDescent="0.25">
      <c r="A20" s="3"/>
      <c r="B20" s="4" t="s">
        <v>50</v>
      </c>
      <c r="C20" s="4" t="s">
        <v>51</v>
      </c>
      <c r="D20" s="5" t="s">
        <v>52</v>
      </c>
      <c r="E20" s="4" t="s">
        <v>21</v>
      </c>
      <c r="F20" s="6">
        <v>46274</v>
      </c>
      <c r="G20" s="6">
        <v>46280</v>
      </c>
      <c r="H20" s="7">
        <v>1</v>
      </c>
    </row>
    <row r="21" spans="1:8" ht="34.5" customHeight="1" x14ac:dyDescent="0.25">
      <c r="A21" s="3"/>
      <c r="B21" s="4" t="s">
        <v>53</v>
      </c>
      <c r="C21" s="4" t="s">
        <v>54</v>
      </c>
      <c r="D21" s="5" t="s">
        <v>55</v>
      </c>
      <c r="E21" s="4" t="s">
        <v>21</v>
      </c>
      <c r="F21" s="6">
        <v>46274</v>
      </c>
      <c r="G21" s="6">
        <v>46280</v>
      </c>
      <c r="H21" s="7">
        <v>1</v>
      </c>
    </row>
    <row r="22" spans="1:8" ht="34.5" customHeight="1" x14ac:dyDescent="0.25">
      <c r="A22" s="3"/>
      <c r="B22" s="4" t="s">
        <v>56</v>
      </c>
      <c r="C22" s="4" t="s">
        <v>57</v>
      </c>
      <c r="D22" s="5" t="s">
        <v>58</v>
      </c>
      <c r="E22" s="4" t="s">
        <v>39</v>
      </c>
      <c r="F22" s="6">
        <v>46274</v>
      </c>
      <c r="G22" s="6">
        <v>46280</v>
      </c>
      <c r="H22" s="7">
        <v>1</v>
      </c>
    </row>
    <row r="23" spans="1:8" ht="34.5" customHeight="1" x14ac:dyDescent="0.25">
      <c r="A23" s="3"/>
      <c r="B23" s="4" t="s">
        <v>59</v>
      </c>
      <c r="C23" s="4" t="s">
        <v>60</v>
      </c>
      <c r="D23" s="5" t="s">
        <v>61</v>
      </c>
      <c r="E23" s="4" t="s">
        <v>35</v>
      </c>
      <c r="F23" s="6">
        <v>46274</v>
      </c>
      <c r="G23" s="6">
        <v>46280</v>
      </c>
      <c r="H23" s="7">
        <v>1</v>
      </c>
    </row>
    <row r="24" spans="1:8" ht="34.5" customHeight="1" x14ac:dyDescent="0.25">
      <c r="A24" s="3" t="s">
        <v>62</v>
      </c>
      <c r="B24" s="4" t="s">
        <v>63</v>
      </c>
      <c r="C24" s="4" t="s">
        <v>64</v>
      </c>
      <c r="D24" s="5" t="s">
        <v>65</v>
      </c>
      <c r="E24" s="4" t="s">
        <v>66</v>
      </c>
      <c r="F24" s="6">
        <v>46274</v>
      </c>
      <c r="G24" s="6">
        <v>46280</v>
      </c>
      <c r="H24" s="7">
        <v>1</v>
      </c>
    </row>
    <row r="25" spans="1:8" ht="34.5" customHeight="1" x14ac:dyDescent="0.25">
      <c r="A25" s="3"/>
      <c r="B25" s="4" t="s">
        <v>67</v>
      </c>
      <c r="C25" s="4" t="s">
        <v>68</v>
      </c>
      <c r="D25" s="5" t="s">
        <v>69</v>
      </c>
      <c r="E25" s="4" t="s">
        <v>66</v>
      </c>
      <c r="F25" s="6">
        <v>46274</v>
      </c>
      <c r="G25" s="6">
        <v>46280</v>
      </c>
      <c r="H25" s="7">
        <v>1</v>
      </c>
    </row>
    <row r="26" spans="1:8" ht="34.5" customHeight="1" x14ac:dyDescent="0.25">
      <c r="A26" s="3"/>
      <c r="B26" s="4" t="s">
        <v>70</v>
      </c>
      <c r="C26" s="4" t="s">
        <v>71</v>
      </c>
      <c r="D26" s="5" t="s">
        <v>72</v>
      </c>
      <c r="E26" s="4" t="s">
        <v>39</v>
      </c>
      <c r="F26" s="6">
        <v>46280</v>
      </c>
      <c r="G26" s="6">
        <v>46281</v>
      </c>
      <c r="H26" s="7">
        <v>1</v>
      </c>
    </row>
    <row r="27" spans="1:8" ht="34.5" customHeight="1" x14ac:dyDescent="0.25">
      <c r="A27" s="3"/>
      <c r="B27" s="4" t="s">
        <v>73</v>
      </c>
      <c r="C27" s="4" t="s">
        <v>74</v>
      </c>
      <c r="D27" s="5" t="s">
        <v>75</v>
      </c>
      <c r="E27" s="4" t="s">
        <v>76</v>
      </c>
      <c r="F27" s="6">
        <v>46281</v>
      </c>
      <c r="G27" s="6">
        <v>46282</v>
      </c>
      <c r="H27" s="7">
        <v>1</v>
      </c>
    </row>
    <row r="28" spans="1:8" ht="34.5" customHeight="1" x14ac:dyDescent="0.25">
      <c r="A28" s="3"/>
      <c r="B28" s="4" t="s">
        <v>77</v>
      </c>
      <c r="C28" s="4" t="s">
        <v>78</v>
      </c>
      <c r="D28" s="5" t="s">
        <v>79</v>
      </c>
      <c r="E28" s="4" t="s">
        <v>76</v>
      </c>
      <c r="F28" s="6">
        <v>46283</v>
      </c>
      <c r="G28" s="6">
        <v>46283</v>
      </c>
      <c r="H28" s="7">
        <v>1</v>
      </c>
    </row>
    <row r="29" spans="1:8" ht="24.75" customHeight="1" x14ac:dyDescent="0.3">
      <c r="A29" s="8" t="s">
        <v>62</v>
      </c>
      <c r="B29" s="9" t="s">
        <v>80</v>
      </c>
      <c r="C29" s="17">
        <v>46283</v>
      </c>
      <c r="D29" s="18"/>
      <c r="E29" s="18"/>
      <c r="F29" s="18"/>
      <c r="G29" s="18"/>
      <c r="H29" s="10">
        <f>AVERAGE(H11:H28)</f>
        <v>1</v>
      </c>
    </row>
    <row r="30" spans="1:8" ht="62.25" customHeight="1" x14ac:dyDescent="0.25">
      <c r="A30" s="3"/>
      <c r="B30" s="4" t="s">
        <v>81</v>
      </c>
      <c r="C30" s="4" t="s">
        <v>82</v>
      </c>
      <c r="D30" s="11" t="s">
        <v>83</v>
      </c>
      <c r="E30" s="4" t="s">
        <v>84</v>
      </c>
      <c r="F30" s="6">
        <v>46286</v>
      </c>
      <c r="G30" s="6">
        <v>46294</v>
      </c>
      <c r="H30" s="12">
        <v>1</v>
      </c>
    </row>
    <row r="31" spans="1:8" ht="62.25" customHeight="1" x14ac:dyDescent="0.25">
      <c r="A31" s="3"/>
      <c r="B31" s="4" t="s">
        <v>85</v>
      </c>
      <c r="C31" s="4" t="s">
        <v>86</v>
      </c>
      <c r="D31" s="5" t="s">
        <v>87</v>
      </c>
      <c r="E31" s="4" t="s">
        <v>43</v>
      </c>
      <c r="F31" s="6">
        <v>46293</v>
      </c>
      <c r="G31" s="6">
        <v>46318</v>
      </c>
      <c r="H31" s="7">
        <v>0.5</v>
      </c>
    </row>
    <row r="32" spans="1:8" ht="34.5" customHeight="1" x14ac:dyDescent="0.25">
      <c r="A32" s="3"/>
      <c r="B32" s="4" t="s">
        <v>88</v>
      </c>
      <c r="C32" s="4" t="s">
        <v>89</v>
      </c>
      <c r="D32" s="5" t="s">
        <v>90</v>
      </c>
      <c r="E32" s="4" t="s">
        <v>43</v>
      </c>
      <c r="F32" s="6">
        <v>46293</v>
      </c>
      <c r="G32" s="6">
        <v>46318</v>
      </c>
      <c r="H32" s="7">
        <v>0.5</v>
      </c>
    </row>
    <row r="33" spans="1:8" ht="34.5" customHeight="1" x14ac:dyDescent="0.25">
      <c r="A33" s="3" t="s">
        <v>62</v>
      </c>
      <c r="B33" s="4" t="s">
        <v>91</v>
      </c>
      <c r="C33" s="4" t="s">
        <v>92</v>
      </c>
      <c r="D33" s="5" t="s">
        <v>93</v>
      </c>
      <c r="E33" s="4" t="s">
        <v>35</v>
      </c>
      <c r="F33" s="6">
        <v>46293</v>
      </c>
      <c r="G33" s="6">
        <v>46318</v>
      </c>
      <c r="H33" s="7">
        <v>0</v>
      </c>
    </row>
    <row r="34" spans="1:8" ht="34.5" customHeight="1" x14ac:dyDescent="0.25">
      <c r="A34" s="3"/>
      <c r="B34" s="4" t="s">
        <v>94</v>
      </c>
      <c r="C34" s="4" t="s">
        <v>95</v>
      </c>
      <c r="D34" s="5" t="s">
        <v>96</v>
      </c>
      <c r="E34" s="4" t="s">
        <v>21</v>
      </c>
      <c r="F34" s="6">
        <v>46293</v>
      </c>
      <c r="G34" s="6">
        <v>46318</v>
      </c>
      <c r="H34" s="7">
        <v>0</v>
      </c>
    </row>
    <row r="35" spans="1:8" ht="34.5" customHeight="1" x14ac:dyDescent="0.25">
      <c r="A35" s="3"/>
      <c r="B35" s="4" t="s">
        <v>97</v>
      </c>
      <c r="C35" s="4" t="s">
        <v>98</v>
      </c>
      <c r="D35" s="5" t="s">
        <v>99</v>
      </c>
      <c r="E35" s="4" t="s">
        <v>21</v>
      </c>
      <c r="F35" s="6">
        <v>46293</v>
      </c>
      <c r="G35" s="6">
        <v>46318</v>
      </c>
      <c r="H35" s="7">
        <v>0</v>
      </c>
    </row>
    <row r="36" spans="1:8" ht="34.5" customHeight="1" x14ac:dyDescent="0.25">
      <c r="A36" s="3"/>
      <c r="B36" s="4" t="s">
        <v>100</v>
      </c>
      <c r="C36" s="4" t="s">
        <v>101</v>
      </c>
      <c r="D36" s="5" t="s">
        <v>102</v>
      </c>
      <c r="E36" s="4" t="s">
        <v>31</v>
      </c>
      <c r="F36" s="6">
        <v>46293</v>
      </c>
      <c r="G36" s="6">
        <v>46318</v>
      </c>
      <c r="H36" s="7">
        <v>0</v>
      </c>
    </row>
    <row r="37" spans="1:8" ht="34.5" customHeight="1" x14ac:dyDescent="0.25">
      <c r="A37" s="3"/>
      <c r="B37" s="4" t="s">
        <v>103</v>
      </c>
      <c r="C37" s="4" t="s">
        <v>104</v>
      </c>
      <c r="D37" s="5" t="s">
        <v>105</v>
      </c>
      <c r="E37" s="4" t="s">
        <v>35</v>
      </c>
      <c r="F37" s="6">
        <v>46293</v>
      </c>
      <c r="G37" s="6">
        <v>46318</v>
      </c>
      <c r="H37" s="7">
        <v>0</v>
      </c>
    </row>
    <row r="38" spans="1:8" ht="34.5" customHeight="1" x14ac:dyDescent="0.25">
      <c r="A38" s="3"/>
      <c r="B38" s="4" t="s">
        <v>106</v>
      </c>
      <c r="C38" s="4" t="s">
        <v>107</v>
      </c>
      <c r="D38" s="5" t="s">
        <v>108</v>
      </c>
      <c r="E38" s="4" t="s">
        <v>66</v>
      </c>
      <c r="F38" s="6">
        <v>46293</v>
      </c>
      <c r="G38" s="6">
        <v>46318</v>
      </c>
      <c r="H38" s="7">
        <v>0</v>
      </c>
    </row>
    <row r="39" spans="1:8" ht="34.5" customHeight="1" x14ac:dyDescent="0.25">
      <c r="A39" s="3"/>
      <c r="B39" s="4" t="s">
        <v>109</v>
      </c>
      <c r="C39" s="4" t="s">
        <v>110</v>
      </c>
      <c r="D39" s="5" t="s">
        <v>111</v>
      </c>
      <c r="E39" s="4" t="s">
        <v>66</v>
      </c>
      <c r="F39" s="6">
        <v>46293</v>
      </c>
      <c r="G39" s="6">
        <v>46318</v>
      </c>
      <c r="H39" s="7">
        <v>0</v>
      </c>
    </row>
    <row r="40" spans="1:8" ht="34.5" customHeight="1" x14ac:dyDescent="0.25">
      <c r="A40" s="3"/>
      <c r="B40" s="4" t="s">
        <v>112</v>
      </c>
      <c r="C40" s="4" t="s">
        <v>113</v>
      </c>
      <c r="D40" s="5" t="s">
        <v>114</v>
      </c>
      <c r="E40" s="4" t="s">
        <v>76</v>
      </c>
      <c r="F40" s="6">
        <v>46321</v>
      </c>
      <c r="G40" s="6">
        <v>46323</v>
      </c>
      <c r="H40" s="7">
        <v>0</v>
      </c>
    </row>
    <row r="41" spans="1:8" ht="34.5" customHeight="1" x14ac:dyDescent="0.25">
      <c r="A41" s="3"/>
      <c r="B41" s="4" t="s">
        <v>115</v>
      </c>
      <c r="C41" s="4" t="s">
        <v>116</v>
      </c>
      <c r="D41" s="5" t="s">
        <v>117</v>
      </c>
      <c r="E41" s="4" t="s">
        <v>76</v>
      </c>
      <c r="F41" s="6">
        <v>46324</v>
      </c>
      <c r="G41" s="6">
        <v>46325</v>
      </c>
      <c r="H41" s="7">
        <v>0</v>
      </c>
    </row>
    <row r="42" spans="1:8" ht="34.5" customHeight="1" x14ac:dyDescent="0.3">
      <c r="A42" s="8" t="s">
        <v>62</v>
      </c>
      <c r="B42" s="9" t="s">
        <v>118</v>
      </c>
      <c r="C42" s="17">
        <v>46325</v>
      </c>
      <c r="D42" s="18"/>
      <c r="E42" s="18"/>
      <c r="F42" s="18"/>
      <c r="G42" s="18"/>
      <c r="H42" s="10">
        <f>AVERAGE(H30:H41)</f>
        <v>0.16666666666666666</v>
      </c>
    </row>
    <row r="43" spans="1:8" ht="24.75" customHeight="1" x14ac:dyDescent="0.25">
      <c r="B43" s="4" t="s">
        <v>119</v>
      </c>
      <c r="C43" s="4" t="s">
        <v>120</v>
      </c>
      <c r="D43" s="5" t="s">
        <v>121</v>
      </c>
      <c r="E43" s="4" t="s">
        <v>43</v>
      </c>
      <c r="F43" s="6">
        <v>46342</v>
      </c>
      <c r="G43" s="6">
        <v>46353</v>
      </c>
      <c r="H43" s="7">
        <v>0</v>
      </c>
    </row>
    <row r="44" spans="1:8" ht="34.5" customHeight="1" x14ac:dyDescent="0.25">
      <c r="A44" s="3"/>
      <c r="B44" s="4" t="s">
        <v>122</v>
      </c>
      <c r="C44" s="4" t="s">
        <v>123</v>
      </c>
      <c r="D44" s="5" t="s">
        <v>124</v>
      </c>
      <c r="E44" s="4" t="s">
        <v>66</v>
      </c>
      <c r="F44" s="6">
        <v>46328</v>
      </c>
      <c r="G44" s="6">
        <v>46332</v>
      </c>
      <c r="H44" s="7">
        <v>0</v>
      </c>
    </row>
    <row r="45" spans="1:8" ht="34.5" customHeight="1" x14ac:dyDescent="0.25">
      <c r="A45" s="3"/>
      <c r="B45" s="4" t="s">
        <v>125</v>
      </c>
      <c r="C45" s="4" t="s">
        <v>126</v>
      </c>
      <c r="D45" s="5" t="s">
        <v>127</v>
      </c>
      <c r="E45" s="4" t="s">
        <v>76</v>
      </c>
      <c r="F45" s="6">
        <v>46328</v>
      </c>
      <c r="G45" s="6">
        <v>46339</v>
      </c>
      <c r="H45" s="7">
        <v>0</v>
      </c>
    </row>
    <row r="46" spans="1:8" ht="34.5" customHeight="1" x14ac:dyDescent="0.25">
      <c r="A46" s="3" t="s">
        <v>62</v>
      </c>
      <c r="B46" s="4" t="s">
        <v>128</v>
      </c>
      <c r="C46" s="4" t="s">
        <v>129</v>
      </c>
      <c r="D46" s="5" t="s">
        <v>130</v>
      </c>
      <c r="E46" s="4" t="s">
        <v>21</v>
      </c>
      <c r="F46" s="6">
        <v>46335</v>
      </c>
      <c r="G46" s="6">
        <v>46343</v>
      </c>
      <c r="H46" s="7">
        <v>0</v>
      </c>
    </row>
    <row r="47" spans="1:8" ht="34.5" customHeight="1" x14ac:dyDescent="0.25">
      <c r="A47" s="3"/>
      <c r="B47" s="4" t="s">
        <v>131</v>
      </c>
      <c r="C47" s="4" t="s">
        <v>132</v>
      </c>
      <c r="D47" s="5" t="s">
        <v>133</v>
      </c>
      <c r="E47" s="4" t="s">
        <v>35</v>
      </c>
      <c r="F47" s="6">
        <v>46335</v>
      </c>
      <c r="G47" s="6">
        <v>46343</v>
      </c>
      <c r="H47" s="7">
        <v>0</v>
      </c>
    </row>
    <row r="48" spans="1:8" ht="34.5" customHeight="1" x14ac:dyDescent="0.25">
      <c r="A48" s="3"/>
      <c r="B48" s="4" t="s">
        <v>134</v>
      </c>
      <c r="C48" s="4" t="s">
        <v>135</v>
      </c>
      <c r="D48" s="5" t="s">
        <v>136</v>
      </c>
      <c r="E48" s="4" t="s">
        <v>43</v>
      </c>
      <c r="F48" s="6">
        <v>46335</v>
      </c>
      <c r="G48" s="6">
        <v>46343</v>
      </c>
      <c r="H48" s="7">
        <v>0</v>
      </c>
    </row>
    <row r="49" spans="1:8" ht="34.5" customHeight="1" x14ac:dyDescent="0.25">
      <c r="A49" s="3"/>
      <c r="B49" s="4" t="s">
        <v>137</v>
      </c>
      <c r="C49" s="4" t="s">
        <v>138</v>
      </c>
      <c r="D49" s="5" t="s">
        <v>139</v>
      </c>
      <c r="E49" s="4" t="s">
        <v>76</v>
      </c>
      <c r="F49" s="6">
        <v>46342</v>
      </c>
      <c r="G49" s="6">
        <v>46350</v>
      </c>
      <c r="H49" s="7">
        <v>0</v>
      </c>
    </row>
    <row r="50" spans="1:8" ht="34.5" customHeight="1" x14ac:dyDescent="0.25">
      <c r="A50" s="3"/>
      <c r="B50" s="4" t="s">
        <v>140</v>
      </c>
      <c r="C50" s="4" t="s">
        <v>141</v>
      </c>
      <c r="D50" s="5" t="s">
        <v>142</v>
      </c>
      <c r="E50" s="4" t="s">
        <v>76</v>
      </c>
      <c r="F50" s="6">
        <v>46349</v>
      </c>
      <c r="G50" s="6">
        <v>46352</v>
      </c>
      <c r="H50" s="7">
        <v>0</v>
      </c>
    </row>
    <row r="51" spans="1:8" ht="34.5" customHeight="1" x14ac:dyDescent="0.25">
      <c r="A51" s="3"/>
      <c r="B51" s="4" t="s">
        <v>143</v>
      </c>
      <c r="C51" s="4" t="s">
        <v>144</v>
      </c>
      <c r="D51" s="5" t="s">
        <v>145</v>
      </c>
      <c r="E51" s="4" t="s">
        <v>66</v>
      </c>
      <c r="F51" s="6">
        <v>46353</v>
      </c>
      <c r="G51" s="6">
        <v>46353</v>
      </c>
      <c r="H51" s="7">
        <v>0</v>
      </c>
    </row>
    <row r="52" spans="1:8" ht="34.5" customHeight="1" x14ac:dyDescent="0.25">
      <c r="A52" s="3"/>
      <c r="B52" s="4" t="s">
        <v>146</v>
      </c>
      <c r="C52" s="4" t="s">
        <v>147</v>
      </c>
      <c r="D52" s="5" t="s">
        <v>148</v>
      </c>
      <c r="E52" s="4" t="s">
        <v>21</v>
      </c>
      <c r="F52" s="6">
        <v>46356</v>
      </c>
      <c r="G52" s="6">
        <v>46358</v>
      </c>
      <c r="H52" s="7">
        <v>0</v>
      </c>
    </row>
    <row r="53" spans="1:8" ht="34.5" customHeight="1" x14ac:dyDescent="0.25">
      <c r="A53" s="3"/>
      <c r="B53" s="4" t="s">
        <v>149</v>
      </c>
      <c r="C53" s="4" t="s">
        <v>150</v>
      </c>
      <c r="D53" s="5" t="s">
        <v>151</v>
      </c>
      <c r="E53" s="4" t="s">
        <v>76</v>
      </c>
      <c r="F53" s="6">
        <v>46359</v>
      </c>
      <c r="G53" s="6">
        <v>46360</v>
      </c>
      <c r="H53" s="7">
        <v>0</v>
      </c>
    </row>
    <row r="54" spans="1:8" ht="34.5" customHeight="1" x14ac:dyDescent="0.3">
      <c r="A54" s="8" t="s">
        <v>62</v>
      </c>
      <c r="B54" s="9" t="s">
        <v>152</v>
      </c>
      <c r="C54" s="17">
        <v>46360</v>
      </c>
      <c r="D54" s="18"/>
      <c r="E54" s="18"/>
      <c r="F54" s="18"/>
      <c r="G54" s="18"/>
      <c r="H54" s="10">
        <f>AVERAGE(H43:H53)</f>
        <v>0</v>
      </c>
    </row>
    <row r="55" spans="1:8" ht="34.5" customHeight="1" x14ac:dyDescent="0.25"/>
    <row r="56" spans="1:8" ht="24.75" customHeight="1" x14ac:dyDescent="0.3">
      <c r="A56" s="8"/>
      <c r="B56" s="9" t="s">
        <v>153</v>
      </c>
      <c r="C56" s="13"/>
      <c r="H56" s="14">
        <f>AVERAGE(H11:H28,H30:H41,H43:H53)</f>
        <v>0.48780487804878048</v>
      </c>
    </row>
    <row r="57" spans="1:8" ht="15.75" customHeight="1" x14ac:dyDescent="0.25"/>
    <row r="58" spans="1:8" ht="24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C8:E8"/>
    <mergeCell ref="C29:G29"/>
    <mergeCell ref="C42:G42"/>
    <mergeCell ref="C54:G54"/>
    <mergeCell ref="B1:H1"/>
    <mergeCell ref="C2:E2"/>
    <mergeCell ref="C3:E3"/>
    <mergeCell ref="C4:E4"/>
    <mergeCell ref="C5:E5"/>
    <mergeCell ref="C6:E6"/>
    <mergeCell ref="C7:E7"/>
  </mergeCells>
  <conditionalFormatting sqref="H11:H50">
    <cfRule type="cellIs" dxfId="0" priority="1" operator="equal">
      <formula>1</formula>
    </cfRule>
  </conditionalFormatting>
  <dataValidations count="1">
    <dataValidation type="decimal" allowBlank="1" showInputMessage="1" showErrorMessage="1" prompt="Valor fuera de rango - El avance debe ser un número entre 0 y 1 (0 % a 100 %)." sqref="H11:H50" xr:uid="{00000000-0002-0000-0000-000000000000}">
      <formula1>0</formula1>
      <formula2>1</formula2>
    </dataValidation>
  </dataValidations>
  <printOptions horizontalCentered="1"/>
  <pageMargins left="0.3" right="0.3" top="0.4" bottom="0.4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Mallqui</cp:lastModifiedBy>
  <dcterms:modified xsi:type="dcterms:W3CDTF">2026-10-27T08:17:20Z</dcterms:modified>
</cp:coreProperties>
</file>