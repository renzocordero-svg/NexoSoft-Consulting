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APZEkCivPXtqf1uvQNYd4l0gOYoEVKLPXYOM9fpGyNA="/>
    </ext>
  </extLst>
</workbook>
</file>

<file path=xl/sharedStrings.xml><?xml version="1.0" encoding="utf-8"?>
<sst xmlns="http://schemas.openxmlformats.org/spreadsheetml/2006/main" count="196" uniqueCount="156">
  <si>
    <t>CRONOGRAMA DEL PROYECTO</t>
  </si>
  <si>
    <t>Ruta del repositorio Github:</t>
  </si>
  <si>
    <t>Grupo:</t>
  </si>
  <si>
    <t>Proyecto:</t>
  </si>
  <si>
    <t>FERREMAX (FMX) — Sistema Web de Gestión para Ferretería</t>
  </si>
  <si>
    <t>Tipo plataforma</t>
  </si>
  <si>
    <t>Web (Laravel 11 + MySQL 8.0 sobre contenedores Docker)</t>
  </si>
  <si>
    <t xml:space="preserve">Enfoque de desarrollo: </t>
  </si>
  <si>
    <t>Proceso Unificado (RUP) con entregas incrementales por hito</t>
  </si>
  <si>
    <t>Inicio:</t>
  </si>
  <si>
    <t>Fin:</t>
  </si>
  <si>
    <t>Actividades</t>
  </si>
  <si>
    <t>Item/Artefacto</t>
  </si>
  <si>
    <t>Nomenclatura</t>
  </si>
  <si>
    <t>Apellido/Rol</t>
  </si>
  <si>
    <t>Inicio</t>
  </si>
  <si>
    <t>Fin</t>
  </si>
  <si>
    <t>% de Avance</t>
  </si>
  <si>
    <t>Elaboración del acta de constitución del proyecto</t>
  </si>
  <si>
    <t>Acta de Constitución del Proyecto</t>
  </si>
  <si>
    <t>FMX-ACP.docx</t>
  </si>
  <si>
    <t>Cordero Alfaro</t>
  </si>
  <si>
    <t>Elaboración del cronograma detallado y línea base en 3 hitos</t>
  </si>
  <si>
    <t>Cronograma del proyecto</t>
  </si>
  <si>
    <t>FMX-CRN.xlsx</t>
  </si>
  <si>
    <t>Creación y configuración del repositorio GitHub: ramas, plantillas de PR y README</t>
  </si>
  <si>
    <t>Repositorio y guía de contribución</t>
  </si>
  <si>
    <t>FMX-REP / README.md</t>
  </si>
  <si>
    <t>Alegre Mayanga</t>
  </si>
  <si>
    <t>Configuración del entorno Docker (app, nginx, db) y docker-compose</t>
  </si>
  <si>
    <t>Entorno de ejecución contenerizado</t>
  </si>
  <si>
    <t>docker-compose.yml</t>
  </si>
  <si>
    <t>Mallqui Meza</t>
  </si>
  <si>
    <t>Elaboración de la lista de requisitos del sistema</t>
  </si>
  <si>
    <t>Lista de requisitos del sistema</t>
  </si>
  <si>
    <t>FMX-LRU.xlsx</t>
  </si>
  <si>
    <t>Vegas Villalva</t>
  </si>
  <si>
    <t>Elaboración de especificación del caso de uso C01 — CUS-01: Iniciar sesión</t>
  </si>
  <si>
    <t>Caso de uso C01</t>
  </si>
  <si>
    <t>FMX-C01.docx</t>
  </si>
  <si>
    <t>Castillejo Huancas</t>
  </si>
  <si>
    <t>Elaboración de especificación del caso de uso C02 — CUS-02: Cerrar sesión</t>
  </si>
  <si>
    <t>Caso de uso C02</t>
  </si>
  <si>
    <t>FMX-C02.docx</t>
  </si>
  <si>
    <t>Elaboración de especificación del caso de uso C03 — CUS-03: Mantener productos</t>
  </si>
  <si>
    <t>Caso de uso C03</t>
  </si>
  <si>
    <t>FMX-C03.docx</t>
  </si>
  <si>
    <t>Elaboración de especificación del caso de uso C04 — CUS-04: Registrar venta</t>
  </si>
  <si>
    <t>Caso de uso C04</t>
  </si>
  <si>
    <t>FMX-C04.docx</t>
  </si>
  <si>
    <t>Elaboración de especificación del caso de uso C05 — CUS-05: Consultar factura</t>
  </si>
  <si>
    <t>Caso de uso C05</t>
  </si>
  <si>
    <t>FMX-C05.docx</t>
  </si>
  <si>
    <t>Elaboración de especificación del caso de uso C06 — CUS-06: Consultar historial de ventas</t>
  </si>
  <si>
    <t>Caso de uso C06</t>
  </si>
  <si>
    <t>FMX-C06.docx</t>
  </si>
  <si>
    <t>Vásquez Sal y Rosas</t>
  </si>
  <si>
    <t>Elaboración de especificación del caso de uso C07 — CUS-07: Consultar movimientos de stock</t>
  </si>
  <si>
    <t>Caso de uso C07</t>
  </si>
  <si>
    <t>FMX-C07.docx</t>
  </si>
  <si>
    <t>*</t>
  </si>
  <si>
    <t>Elaboración de especificación del caso de uso C08 — CUS-08: Mantener usuarios</t>
  </si>
  <si>
    <t>Caso de uso C08</t>
  </si>
  <si>
    <t>FMX-C08.docx</t>
  </si>
  <si>
    <t>Roman Hurtado</t>
  </si>
  <si>
    <t>Elaboración de especificación del caso de uso C09 — CUS-09: Generar reportes de ventas</t>
  </si>
  <si>
    <t>Caso de uso C09</t>
  </si>
  <si>
    <t>FMX-C09.docx</t>
  </si>
  <si>
    <t>Consolidación de la matriz de trazabilidad RF ↔ CUS</t>
  </si>
  <si>
    <t>Matriz de trazabilidad RF ↔ CUS</t>
  </si>
  <si>
    <t>FMX-MTZ.xlsx</t>
  </si>
  <si>
    <t>Ejecución de revisión cruzada entre pares y corrección de observaciones</t>
  </si>
  <si>
    <t>Acta de revisión por pares</t>
  </si>
  <si>
    <t>FMX-ARP.docx</t>
  </si>
  <si>
    <t>Todo el equipo</t>
  </si>
  <si>
    <t>Entrega del Hito 1 y revisión con el docente</t>
  </si>
  <si>
    <t>Entregable Hito 1 (tag v0.1-hito1)</t>
  </si>
  <si>
    <t>FMX-H1.zip</t>
  </si>
  <si>
    <t>H1: Inicio y Requisitos</t>
  </si>
  <si>
    <t>Desarrollo del Módulo M4: historial, indicadores y gráficos con Chart.js</t>
  </si>
  <si>
    <t>Código del módulo M4 — Reportes</t>
  </si>
  <si>
    <t>feature/reportes</t>
  </si>
  <si>
    <t>Elaboración de la arquitectura del sistema</t>
  </si>
  <si>
    <t>Diagrama de arquitectura lógica, modelo relacional, migraciones, diagramas de despliegue, componentes, secuencia y clases</t>
  </si>
  <si>
    <t>FMX-DAS.docx / database/migrations</t>
  </si>
  <si>
    <t>Castillejo / Mallqui / Alegre / Vegas</t>
  </si>
  <si>
    <t>Desarrollo e implementación del caso de uso C01 — CUS-01: Iniciar sesión</t>
  </si>
  <si>
    <t>Código del caso de uso C01</t>
  </si>
  <si>
    <t>feature/c01</t>
  </si>
  <si>
    <t>Desarrollo e implementación del caso de uso C02 — CUS-02: Cerrar sesión</t>
  </si>
  <si>
    <t>Código del caso de uso C02</t>
  </si>
  <si>
    <t>feature/c02</t>
  </si>
  <si>
    <t>Desarrollo e implementación del caso de uso C03 — CUS-03: Mantener productos</t>
  </si>
  <si>
    <t>Código del caso de uso C03</t>
  </si>
  <si>
    <t>feature/c03</t>
  </si>
  <si>
    <t>Desarrollo e implementación del caso de uso C04 — CUS-04: Registrar venta</t>
  </si>
  <si>
    <t>Código del caso de uso C04</t>
  </si>
  <si>
    <t>feature/c04</t>
  </si>
  <si>
    <t>Desarrollo e implementación del caso de uso C05 — CUS-05: Consultar factura</t>
  </si>
  <si>
    <t>Código del caso de uso C05</t>
  </si>
  <si>
    <t>feature/c05</t>
  </si>
  <si>
    <t>Desarrollo e implementación del caso de uso C06 — CUS-06: Consultar historial de ventas</t>
  </si>
  <si>
    <t>Código del caso de uso C06</t>
  </si>
  <si>
    <t>feature/c06</t>
  </si>
  <si>
    <t>Desarrollo e implementación del caso de uso C07 — CUS-07: Consultar movimientos de stock</t>
  </si>
  <si>
    <t>Código del caso de uso C07</t>
  </si>
  <si>
    <t>feature/c07</t>
  </si>
  <si>
    <t>Desarrollo e implementación del caso de uso C08 — CUS-08: Mantener usuarios</t>
  </si>
  <si>
    <t>Código del caso de uso C08</t>
  </si>
  <si>
    <t>feature/c08</t>
  </si>
  <si>
    <t>Desarrollo e implementación del caso de uso C09 — CUS-09: Generar reportes de ventas</t>
  </si>
  <si>
    <t>Código del caso de uso C09</t>
  </si>
  <si>
    <t>feature/c09</t>
  </si>
  <si>
    <t>Integración de todos los casos de uso desarrollados en la rama develop</t>
  </si>
  <si>
    <t>Rama de integración</t>
  </si>
  <si>
    <t>develop</t>
  </si>
  <si>
    <t>Demo interna y entrega del Hito 2</t>
  </si>
  <si>
    <t>Entregable Hito 2 (tag v0.5-hito2)</t>
  </si>
  <si>
    <t>FMX-H2.zip</t>
  </si>
  <si>
    <t>H2: Diseño y Desarrollo Core</t>
  </si>
  <si>
    <t>Elaboración del manual de usuario y manual técnico de despliegue</t>
  </si>
  <si>
    <t>Manual de usuario y manual técnico</t>
  </si>
  <si>
    <t>FMX-MUS.docx / FMX-MDT.docx</t>
  </si>
  <si>
    <t>Vásquez Sal y Rosas / Castillejo Huancas</t>
  </si>
  <si>
    <t>Elaboración del plan de pruebas y diseño de casos de prueba por caso de uso</t>
  </si>
  <si>
    <t>Plan de pruebas y casos de prueba</t>
  </si>
  <si>
    <t>FMX-PPR.docx</t>
  </si>
  <si>
    <t>Ejecución de pruebas unitarias con PHPUnit por caso de uso</t>
  </si>
  <si>
    <t>Suite de pruebas unitarias</t>
  </si>
  <si>
    <t>tests/Unit</t>
  </si>
  <si>
    <t>Ejecución de pruebas de integración del flujo completo de venta y procesos</t>
  </si>
  <si>
    <t>Informe de pruebas de integración</t>
  </si>
  <si>
    <t>FMX-IPI.docx</t>
  </si>
  <si>
    <t>Ejecución de pruebas de concurrencia y de transacciones atómicas</t>
  </si>
  <si>
    <t>Informe de pruebas de concurrencia</t>
  </si>
  <si>
    <t>FMX-IPC.docx</t>
  </si>
  <si>
    <t>Ejecución de pruebas de seguridad: roles, hash de contraseñas y sesiones</t>
  </si>
  <si>
    <t>Informe de pruebas de seguridad</t>
  </si>
  <si>
    <t>FMX-IPS.docx</t>
  </si>
  <si>
    <t>Corrección de los defectos detectados y reprueba</t>
  </si>
  <si>
    <t>Registro de defectos y corrección</t>
  </si>
  <si>
    <t>FMX-RDF.xlsx</t>
  </si>
  <si>
    <t>Consolidación de Pull Requests finales a main con revisión cruzada</t>
  </si>
  <si>
    <t>Pull Requests aprobados a main</t>
  </si>
  <si>
    <t>main</t>
  </si>
  <si>
    <t>Publicación del Release v1.0: etiquetado y publicación en GitHub</t>
  </si>
  <si>
    <t>Release del software</t>
  </si>
  <si>
    <t>v1.0</t>
  </si>
  <si>
    <t>Elaboración del documento de cierre y lecciones aprendidas</t>
  </si>
  <si>
    <t>Documento de cierre del proyecto</t>
  </si>
  <si>
    <t>FMX-ICP.docx</t>
  </si>
  <si>
    <t>Presentación y sustentación final del proyecto</t>
  </si>
  <si>
    <t>Presentación de sustentación final</t>
  </si>
  <si>
    <t>FMX-PRE.pptx</t>
  </si>
  <si>
    <t>H3: Pruebas y Entrega Final</t>
  </si>
  <si>
    <t>AVANCE GLOBAL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</si>
</sst>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yyyy\-mm\-dd"/>
    <numFmt numFmtId="166" formatCode="yyyy-mm-dd"/>
  </numFmts>
  <fonts count="11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theme="1"/>
      <name val="Calibri"/>
    </font>
    <font>
      <u/>
      <sz val="11.0"/>
      <color theme="10"/>
      <name val="Calibri"/>
    </font>
    <font>
      <sz val="11.0"/>
      <color theme="1"/>
      <name val="Calibri"/>
    </font>
    <font>
      <b/>
      <sz val="12.0"/>
      <color rgb="FFFFFFFF"/>
      <name val="Calibri"/>
    </font>
    <font>
      <sz val="12.0"/>
      <color theme="1"/>
      <name val="Calibri"/>
    </font>
    <font>
      <b/>
      <sz val="14.0"/>
      <color rgb="FFC00000"/>
      <name val="Calibri"/>
    </font>
    <font>
      <b/>
      <sz val="12.0"/>
      <color rgb="FFC00000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DE7"/>
        <bgColor rgb="FFFFFDE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164" xfId="0" applyAlignment="1" applyFont="1" applyNumberFormat="1">
      <alignment horizontal="left" vertical="center"/>
    </xf>
    <xf borderId="4" fillId="2" fontId="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vertical="center"/>
    </xf>
    <xf borderId="4" fillId="0" fontId="5" numFmtId="165" xfId="0" applyAlignment="1" applyBorder="1" applyFont="1" applyNumberFormat="1">
      <alignment horizontal="center" vertical="center"/>
    </xf>
    <xf borderId="4" fillId="3" fontId="5" numFmtId="9" xfId="0" applyAlignment="1" applyBorder="1" applyFill="1" applyFont="1" applyNumberFormat="1">
      <alignment horizontal="center" readingOrder="0" vertical="center"/>
    </xf>
    <xf borderId="4" fillId="0" fontId="5" numFmtId="166" xfId="0" applyAlignment="1" applyBorder="1" applyFont="1" applyNumberFormat="1">
      <alignment horizontal="center" readingOrder="0" vertical="center"/>
    </xf>
    <xf borderId="4" fillId="3" fontId="5" numFmtId="9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5" fillId="2" fontId="8" numFmtId="0" xfId="0" applyBorder="1" applyFill="1" applyFont="1"/>
    <xf borderId="1" fillId="2" fontId="8" numFmtId="165" xfId="0" applyAlignment="1" applyBorder="1" applyFill="1" applyFont="1" applyNumberFormat="1">
      <alignment horizontal="left" vertical="center"/>
    </xf>
    <xf borderId="5" fillId="2" fontId="9" numFmtId="9" xfId="0" applyBorder="1" applyFill="1" applyFont="1" applyNumberFormat="1"/>
    <xf borderId="4" fillId="0" fontId="5" numFmtId="164" xfId="0" applyAlignment="1" applyBorder="1" applyFont="1" applyNumberFormat="1">
      <alignment horizontal="center" vertical="center"/>
    </xf>
    <xf borderId="5" fillId="2" fontId="8" numFmtId="164" xfId="0" applyAlignment="1" applyBorder="1" applyFill="1" applyFont="1" applyNumberFormat="1">
      <alignment horizontal="left" vertical="center"/>
    </xf>
    <xf borderId="5" fillId="2" fontId="10" numFmtId="9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D8F0E4"/>
          <bgColor rgb="FFD8F0E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11.43"/>
    <col customWidth="1" min="2" max="2" width="53.29"/>
    <col customWidth="1" min="3" max="3" width="27.57"/>
    <col customWidth="1" min="4" max="4" width="22.86"/>
    <col customWidth="1" min="5" max="5" width="32.71"/>
    <col customWidth="1" min="6" max="6" width="13.29"/>
    <col customWidth="1" min="7" max="7" width="16.86"/>
    <col customWidth="1" min="8" max="8" width="18.86"/>
    <col customWidth="1" min="9" max="26" width="8.71"/>
  </cols>
  <sheetData>
    <row r="1" ht="24.0" customHeight="1">
      <c r="B1" s="1" t="s">
        <v>0</v>
      </c>
      <c r="C1" s="2"/>
      <c r="D1" s="2"/>
      <c r="E1" s="2"/>
      <c r="F1" s="2"/>
      <c r="G1" s="2"/>
      <c r="H1" s="3"/>
    </row>
    <row r="2">
      <c r="B2" s="4" t="s">
        <v>1</v>
      </c>
      <c r="C2" s="5"/>
    </row>
    <row r="3">
      <c r="B3" s="4" t="s">
        <v>2</v>
      </c>
      <c r="C3" s="6">
        <v>2.0</v>
      </c>
    </row>
    <row r="4">
      <c r="B4" s="4" t="s">
        <v>3</v>
      </c>
      <c r="C4" s="6" t="s">
        <v>4</v>
      </c>
    </row>
    <row r="5">
      <c r="B5" s="4" t="s">
        <v>5</v>
      </c>
      <c r="C5" s="6" t="s">
        <v>6</v>
      </c>
    </row>
    <row r="6">
      <c r="B6" s="4" t="s">
        <v>7</v>
      </c>
      <c r="C6" s="6" t="s">
        <v>8</v>
      </c>
    </row>
    <row r="7">
      <c r="B7" s="4" t="s">
        <v>9</v>
      </c>
      <c r="C7" s="7">
        <v>46272.0</v>
      </c>
    </row>
    <row r="8">
      <c r="B8" s="4" t="s">
        <v>10</v>
      </c>
      <c r="C8" s="7">
        <v>46360.0</v>
      </c>
    </row>
    <row r="10" ht="21.75" customHeight="1"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  <c r="G10" s="8" t="s">
        <v>16</v>
      </c>
      <c r="H10" s="8" t="s">
        <v>17</v>
      </c>
    </row>
    <row r="11" ht="34.5" customHeight="1">
      <c r="A11" s="9"/>
      <c r="B11" s="10" t="s">
        <v>18</v>
      </c>
      <c r="C11" s="10" t="s">
        <v>19</v>
      </c>
      <c r="D11" s="11" t="s">
        <v>20</v>
      </c>
      <c r="E11" s="10" t="s">
        <v>21</v>
      </c>
      <c r="F11" s="12">
        <v>46272.0</v>
      </c>
      <c r="G11" s="12">
        <v>46274.0</v>
      </c>
      <c r="H11" s="13">
        <v>1.0</v>
      </c>
    </row>
    <row r="12" ht="34.5" customHeight="1">
      <c r="A12" s="9"/>
      <c r="B12" s="10" t="s">
        <v>22</v>
      </c>
      <c r="C12" s="10" t="s">
        <v>23</v>
      </c>
      <c r="D12" s="11" t="s">
        <v>24</v>
      </c>
      <c r="E12" s="10" t="s">
        <v>21</v>
      </c>
      <c r="F12" s="12">
        <v>46272.0</v>
      </c>
      <c r="G12" s="12">
        <v>46274.0</v>
      </c>
      <c r="H12" s="13">
        <v>1.0</v>
      </c>
    </row>
    <row r="13" ht="34.5" customHeight="1">
      <c r="A13" s="9"/>
      <c r="B13" s="10" t="s">
        <v>25</v>
      </c>
      <c r="C13" s="10" t="s">
        <v>26</v>
      </c>
      <c r="D13" s="11" t="s">
        <v>27</v>
      </c>
      <c r="E13" s="10" t="s">
        <v>28</v>
      </c>
      <c r="F13" s="12">
        <v>46272.0</v>
      </c>
      <c r="G13" s="12">
        <v>46273.0</v>
      </c>
      <c r="H13" s="13">
        <v>1.0</v>
      </c>
    </row>
    <row r="14" ht="34.5" customHeight="1">
      <c r="A14" s="9"/>
      <c r="B14" s="10" t="s">
        <v>29</v>
      </c>
      <c r="C14" s="10" t="s">
        <v>30</v>
      </c>
      <c r="D14" s="11" t="s">
        <v>31</v>
      </c>
      <c r="E14" s="10" t="s">
        <v>32</v>
      </c>
      <c r="F14" s="12">
        <v>46273.0</v>
      </c>
      <c r="G14" s="14">
        <v>46283.0</v>
      </c>
      <c r="H14" s="15">
        <v>0.0</v>
      </c>
    </row>
    <row r="15" ht="34.5" customHeight="1">
      <c r="A15" s="9"/>
      <c r="B15" s="10" t="s">
        <v>33</v>
      </c>
      <c r="C15" s="10" t="s">
        <v>34</v>
      </c>
      <c r="D15" s="11" t="s">
        <v>35</v>
      </c>
      <c r="E15" s="10" t="s">
        <v>36</v>
      </c>
      <c r="F15" s="12">
        <v>46273.0</v>
      </c>
      <c r="G15" s="12">
        <v>46277.0</v>
      </c>
      <c r="H15" s="13">
        <v>1.0</v>
      </c>
    </row>
    <row r="16" ht="34.5" customHeight="1">
      <c r="A16" s="9"/>
      <c r="B16" s="10" t="s">
        <v>37</v>
      </c>
      <c r="C16" s="10" t="s">
        <v>38</v>
      </c>
      <c r="D16" s="11" t="s">
        <v>39</v>
      </c>
      <c r="E16" s="10" t="s">
        <v>40</v>
      </c>
      <c r="F16" s="12">
        <v>46274.0</v>
      </c>
      <c r="G16" s="12">
        <v>46280.0</v>
      </c>
      <c r="H16" s="13">
        <v>1.0</v>
      </c>
    </row>
    <row r="17" ht="34.5" customHeight="1">
      <c r="A17" s="9"/>
      <c r="B17" s="10" t="s">
        <v>41</v>
      </c>
      <c r="C17" s="10" t="s">
        <v>42</v>
      </c>
      <c r="D17" s="11" t="s">
        <v>43</v>
      </c>
      <c r="E17" s="10" t="s">
        <v>40</v>
      </c>
      <c r="F17" s="12">
        <v>46274.0</v>
      </c>
      <c r="G17" s="12">
        <v>46280.0</v>
      </c>
      <c r="H17" s="13">
        <v>1.0</v>
      </c>
    </row>
    <row r="18" ht="34.5" customHeight="1">
      <c r="A18" s="9"/>
      <c r="B18" s="10" t="s">
        <v>44</v>
      </c>
      <c r="C18" s="10" t="s">
        <v>45</v>
      </c>
      <c r="D18" s="11" t="s">
        <v>46</v>
      </c>
      <c r="E18" s="10" t="s">
        <v>32</v>
      </c>
      <c r="F18" s="12">
        <v>46274.0</v>
      </c>
      <c r="G18" s="12">
        <v>46280.0</v>
      </c>
      <c r="H18" s="13">
        <v>1.0</v>
      </c>
    </row>
    <row r="19" ht="34.5" customHeight="1">
      <c r="A19" s="9"/>
      <c r="B19" s="10" t="s">
        <v>47</v>
      </c>
      <c r="C19" s="10" t="s">
        <v>48</v>
      </c>
      <c r="D19" s="11" t="s">
        <v>49</v>
      </c>
      <c r="E19" s="10" t="s">
        <v>21</v>
      </c>
      <c r="F19" s="12">
        <v>46274.0</v>
      </c>
      <c r="G19" s="12">
        <v>46280.0</v>
      </c>
      <c r="H19" s="13">
        <v>1.0</v>
      </c>
    </row>
    <row r="20" ht="34.5" customHeight="1">
      <c r="A20" s="9"/>
      <c r="B20" s="10" t="s">
        <v>50</v>
      </c>
      <c r="C20" s="10" t="s">
        <v>51</v>
      </c>
      <c r="D20" s="11" t="s">
        <v>52</v>
      </c>
      <c r="E20" s="10" t="s">
        <v>21</v>
      </c>
      <c r="F20" s="12">
        <v>46274.0</v>
      </c>
      <c r="G20" s="12">
        <v>46280.0</v>
      </c>
      <c r="H20" s="13">
        <v>1.0</v>
      </c>
    </row>
    <row r="21" ht="34.5" customHeight="1">
      <c r="A21" s="9"/>
      <c r="B21" s="10" t="s">
        <v>53</v>
      </c>
      <c r="C21" s="10" t="s">
        <v>54</v>
      </c>
      <c r="D21" s="11" t="s">
        <v>55</v>
      </c>
      <c r="E21" s="10" t="s">
        <v>56</v>
      </c>
      <c r="F21" s="12">
        <v>46274.0</v>
      </c>
      <c r="G21" s="12">
        <v>46280.0</v>
      </c>
      <c r="H21" s="13">
        <v>1.0</v>
      </c>
    </row>
    <row r="22" ht="34.5" customHeight="1">
      <c r="A22" s="9"/>
      <c r="B22" s="10" t="s">
        <v>57</v>
      </c>
      <c r="C22" s="10" t="s">
        <v>58</v>
      </c>
      <c r="D22" s="11" t="s">
        <v>59</v>
      </c>
      <c r="E22" s="10" t="s">
        <v>56</v>
      </c>
      <c r="F22" s="12">
        <v>46274.0</v>
      </c>
      <c r="G22" s="12">
        <v>46280.0</v>
      </c>
      <c r="H22" s="13">
        <v>1.0</v>
      </c>
    </row>
    <row r="23" ht="34.5" customHeight="1">
      <c r="A23" s="9" t="s">
        <v>60</v>
      </c>
      <c r="B23" s="10" t="s">
        <v>61</v>
      </c>
      <c r="C23" s="10" t="s">
        <v>62</v>
      </c>
      <c r="D23" s="11" t="s">
        <v>63</v>
      </c>
      <c r="E23" s="10" t="s">
        <v>64</v>
      </c>
      <c r="F23" s="12">
        <v>46274.0</v>
      </c>
      <c r="G23" s="12">
        <v>46280.0</v>
      </c>
      <c r="H23" s="13">
        <v>1.0</v>
      </c>
    </row>
    <row r="24" ht="34.5" customHeight="1">
      <c r="A24" s="9"/>
      <c r="B24" s="10" t="s">
        <v>65</v>
      </c>
      <c r="C24" s="10" t="s">
        <v>66</v>
      </c>
      <c r="D24" s="11" t="s">
        <v>67</v>
      </c>
      <c r="E24" s="10" t="s">
        <v>64</v>
      </c>
      <c r="F24" s="12">
        <v>46274.0</v>
      </c>
      <c r="G24" s="12">
        <v>46280.0</v>
      </c>
      <c r="H24" s="13">
        <v>1.0</v>
      </c>
    </row>
    <row r="25" ht="34.5" customHeight="1">
      <c r="A25" s="9"/>
      <c r="B25" s="10" t="s">
        <v>68</v>
      </c>
      <c r="C25" s="10" t="s">
        <v>69</v>
      </c>
      <c r="D25" s="11" t="s">
        <v>70</v>
      </c>
      <c r="E25" s="10" t="s">
        <v>36</v>
      </c>
      <c r="F25" s="12">
        <v>46280.0</v>
      </c>
      <c r="G25" s="12">
        <v>46281.0</v>
      </c>
      <c r="H25" s="13">
        <v>1.0</v>
      </c>
    </row>
    <row r="26" ht="34.5" customHeight="1">
      <c r="A26" s="9"/>
      <c r="B26" s="10" t="s">
        <v>71</v>
      </c>
      <c r="C26" s="10" t="s">
        <v>72</v>
      </c>
      <c r="D26" s="11" t="s">
        <v>73</v>
      </c>
      <c r="E26" s="10" t="s">
        <v>74</v>
      </c>
      <c r="F26" s="12">
        <v>46281.0</v>
      </c>
      <c r="G26" s="12">
        <v>46282.0</v>
      </c>
      <c r="H26" s="15">
        <v>0.0</v>
      </c>
    </row>
    <row r="27" ht="34.5" customHeight="1">
      <c r="A27" s="9"/>
      <c r="B27" s="10" t="s">
        <v>75</v>
      </c>
      <c r="C27" s="10" t="s">
        <v>76</v>
      </c>
      <c r="D27" s="11" t="s">
        <v>77</v>
      </c>
      <c r="E27" s="10" t="s">
        <v>74</v>
      </c>
      <c r="F27" s="12">
        <v>46283.0</v>
      </c>
      <c r="G27" s="12">
        <v>46283.0</v>
      </c>
      <c r="H27" s="15">
        <v>0.0</v>
      </c>
    </row>
    <row r="28" ht="24.75" customHeight="1">
      <c r="A28" s="16" t="s">
        <v>60</v>
      </c>
      <c r="B28" s="17" t="s">
        <v>78</v>
      </c>
      <c r="C28" s="18">
        <v>46283.0</v>
      </c>
      <c r="D28" s="2"/>
      <c r="E28" s="2"/>
      <c r="F28" s="2"/>
      <c r="G28" s="3"/>
      <c r="H28" s="19">
        <f>AVERAGE(H11:H27)</f>
        <v>0.8235294118</v>
      </c>
    </row>
    <row r="29" ht="34.5" customHeight="1">
      <c r="B29" s="10" t="s">
        <v>79</v>
      </c>
      <c r="C29" s="10" t="s">
        <v>80</v>
      </c>
      <c r="D29" s="11" t="s">
        <v>81</v>
      </c>
      <c r="E29" s="10" t="s">
        <v>56</v>
      </c>
      <c r="F29" s="20">
        <v>46300.0</v>
      </c>
      <c r="G29" s="20">
        <v>46318.0</v>
      </c>
      <c r="H29" s="15">
        <v>0.0</v>
      </c>
    </row>
    <row r="30" ht="45.0" customHeight="1">
      <c r="A30" s="9"/>
      <c r="B30" s="10" t="s">
        <v>82</v>
      </c>
      <c r="C30" s="10" t="s">
        <v>83</v>
      </c>
      <c r="D30" s="11" t="s">
        <v>84</v>
      </c>
      <c r="E30" s="10" t="s">
        <v>85</v>
      </c>
      <c r="F30" s="12">
        <v>46286.0</v>
      </c>
      <c r="G30" s="12">
        <v>46294.0</v>
      </c>
      <c r="H30" s="15">
        <v>0.0</v>
      </c>
    </row>
    <row r="31" ht="34.5" customHeight="1">
      <c r="A31" s="9"/>
      <c r="B31" s="10" t="s">
        <v>86</v>
      </c>
      <c r="C31" s="10" t="s">
        <v>87</v>
      </c>
      <c r="D31" s="11" t="s">
        <v>88</v>
      </c>
      <c r="E31" s="10" t="s">
        <v>40</v>
      </c>
      <c r="F31" s="12">
        <v>46293.0</v>
      </c>
      <c r="G31" s="12">
        <v>46318.0</v>
      </c>
      <c r="H31" s="15">
        <v>0.0</v>
      </c>
    </row>
    <row r="32" ht="34.5" customHeight="1">
      <c r="A32" s="9"/>
      <c r="B32" s="10" t="s">
        <v>89</v>
      </c>
      <c r="C32" s="10" t="s">
        <v>90</v>
      </c>
      <c r="D32" s="11" t="s">
        <v>91</v>
      </c>
      <c r="E32" s="10" t="s">
        <v>40</v>
      </c>
      <c r="F32" s="12">
        <v>46293.0</v>
      </c>
      <c r="G32" s="12">
        <v>46318.0</v>
      </c>
      <c r="H32" s="15">
        <v>0.0</v>
      </c>
    </row>
    <row r="33" ht="34.5" customHeight="1">
      <c r="A33" s="9" t="s">
        <v>60</v>
      </c>
      <c r="B33" s="10" t="s">
        <v>92</v>
      </c>
      <c r="C33" s="10" t="s">
        <v>93</v>
      </c>
      <c r="D33" s="11" t="s">
        <v>94</v>
      </c>
      <c r="E33" s="10" t="s">
        <v>32</v>
      </c>
      <c r="F33" s="12">
        <v>46293.0</v>
      </c>
      <c r="G33" s="12">
        <v>46318.0</v>
      </c>
      <c r="H33" s="15">
        <v>0.0</v>
      </c>
    </row>
    <row r="34" ht="34.5" customHeight="1">
      <c r="A34" s="9"/>
      <c r="B34" s="10" t="s">
        <v>95</v>
      </c>
      <c r="C34" s="10" t="s">
        <v>96</v>
      </c>
      <c r="D34" s="11" t="s">
        <v>97</v>
      </c>
      <c r="E34" s="10" t="s">
        <v>21</v>
      </c>
      <c r="F34" s="12">
        <v>46293.0</v>
      </c>
      <c r="G34" s="12">
        <v>46318.0</v>
      </c>
      <c r="H34" s="15">
        <v>0.0</v>
      </c>
    </row>
    <row r="35" ht="34.5" customHeight="1">
      <c r="A35" s="9"/>
      <c r="B35" s="10" t="s">
        <v>98</v>
      </c>
      <c r="C35" s="10" t="s">
        <v>99</v>
      </c>
      <c r="D35" s="11" t="s">
        <v>100</v>
      </c>
      <c r="E35" s="10" t="s">
        <v>21</v>
      </c>
      <c r="F35" s="12">
        <v>46293.0</v>
      </c>
      <c r="G35" s="12">
        <v>46318.0</v>
      </c>
      <c r="H35" s="15">
        <v>0.0</v>
      </c>
    </row>
    <row r="36" ht="34.5" customHeight="1">
      <c r="A36" s="9"/>
      <c r="B36" s="10" t="s">
        <v>101</v>
      </c>
      <c r="C36" s="10" t="s">
        <v>102</v>
      </c>
      <c r="D36" s="11" t="s">
        <v>103</v>
      </c>
      <c r="E36" s="10" t="s">
        <v>56</v>
      </c>
      <c r="F36" s="12">
        <v>46293.0</v>
      </c>
      <c r="G36" s="12">
        <v>46318.0</v>
      </c>
      <c r="H36" s="15">
        <v>0.0</v>
      </c>
    </row>
    <row r="37" ht="34.5" customHeight="1">
      <c r="A37" s="9"/>
      <c r="B37" s="10" t="s">
        <v>104</v>
      </c>
      <c r="C37" s="10" t="s">
        <v>105</v>
      </c>
      <c r="D37" s="11" t="s">
        <v>106</v>
      </c>
      <c r="E37" s="10" t="s">
        <v>56</v>
      </c>
      <c r="F37" s="12">
        <v>46293.0</v>
      </c>
      <c r="G37" s="12">
        <v>46318.0</v>
      </c>
      <c r="H37" s="15">
        <v>0.0</v>
      </c>
    </row>
    <row r="38" ht="34.5" customHeight="1">
      <c r="A38" s="9"/>
      <c r="B38" s="10" t="s">
        <v>107</v>
      </c>
      <c r="C38" s="10" t="s">
        <v>108</v>
      </c>
      <c r="D38" s="11" t="s">
        <v>109</v>
      </c>
      <c r="E38" s="10" t="s">
        <v>64</v>
      </c>
      <c r="F38" s="12">
        <v>46293.0</v>
      </c>
      <c r="G38" s="12">
        <v>46318.0</v>
      </c>
      <c r="H38" s="15">
        <v>0.0</v>
      </c>
    </row>
    <row r="39" ht="34.5" customHeight="1">
      <c r="A39" s="9"/>
      <c r="B39" s="10" t="s">
        <v>110</v>
      </c>
      <c r="C39" s="10" t="s">
        <v>111</v>
      </c>
      <c r="D39" s="11" t="s">
        <v>112</v>
      </c>
      <c r="E39" s="10" t="s">
        <v>64</v>
      </c>
      <c r="F39" s="12">
        <v>46293.0</v>
      </c>
      <c r="G39" s="12">
        <v>46318.0</v>
      </c>
      <c r="H39" s="15">
        <v>0.0</v>
      </c>
    </row>
    <row r="40" ht="34.5" customHeight="1">
      <c r="A40" s="9"/>
      <c r="B40" s="10" t="s">
        <v>113</v>
      </c>
      <c r="C40" s="10" t="s">
        <v>114</v>
      </c>
      <c r="D40" s="11" t="s">
        <v>115</v>
      </c>
      <c r="E40" s="10" t="s">
        <v>74</v>
      </c>
      <c r="F40" s="12">
        <v>46321.0</v>
      </c>
      <c r="G40" s="12">
        <v>46323.0</v>
      </c>
      <c r="H40" s="15">
        <v>0.0</v>
      </c>
    </row>
    <row r="41" ht="34.5" customHeight="1">
      <c r="A41" s="9"/>
      <c r="B41" s="10" t="s">
        <v>116</v>
      </c>
      <c r="C41" s="10" t="s">
        <v>117</v>
      </c>
      <c r="D41" s="11" t="s">
        <v>118</v>
      </c>
      <c r="E41" s="10" t="s">
        <v>74</v>
      </c>
      <c r="F41" s="12">
        <v>46324.0</v>
      </c>
      <c r="G41" s="12">
        <v>46325.0</v>
      </c>
      <c r="H41" s="15">
        <v>0.0</v>
      </c>
    </row>
    <row r="42" ht="24.75" customHeight="1">
      <c r="A42" s="16" t="s">
        <v>60</v>
      </c>
      <c r="B42" s="17" t="s">
        <v>119</v>
      </c>
      <c r="C42" s="18">
        <v>46325.0</v>
      </c>
      <c r="D42" s="2"/>
      <c r="E42" s="2"/>
      <c r="F42" s="2"/>
      <c r="G42" s="3"/>
      <c r="H42" s="19">
        <f>AVERAGE(H30:H41)</f>
        <v>0</v>
      </c>
    </row>
    <row r="43" ht="34.5" customHeight="1">
      <c r="B43" s="10" t="s">
        <v>120</v>
      </c>
      <c r="C43" s="10" t="s">
        <v>121</v>
      </c>
      <c r="D43" s="11" t="s">
        <v>122</v>
      </c>
      <c r="E43" s="10" t="s">
        <v>123</v>
      </c>
      <c r="F43" s="20">
        <v>46342.0</v>
      </c>
      <c r="G43" s="20">
        <v>46353.0</v>
      </c>
      <c r="H43" s="15">
        <v>0.0</v>
      </c>
    </row>
    <row r="44" ht="34.5" customHeight="1">
      <c r="A44" s="9"/>
      <c r="B44" s="10" t="s">
        <v>124</v>
      </c>
      <c r="C44" s="10" t="s">
        <v>125</v>
      </c>
      <c r="D44" s="11" t="s">
        <v>126</v>
      </c>
      <c r="E44" s="10" t="s">
        <v>64</v>
      </c>
      <c r="F44" s="12">
        <v>46328.0</v>
      </c>
      <c r="G44" s="12">
        <v>46332.0</v>
      </c>
      <c r="H44" s="15">
        <v>0.0</v>
      </c>
    </row>
    <row r="45" ht="34.5" customHeight="1">
      <c r="A45" s="9"/>
      <c r="B45" s="10" t="s">
        <v>127</v>
      </c>
      <c r="C45" s="10" t="s">
        <v>128</v>
      </c>
      <c r="D45" s="11" t="s">
        <v>129</v>
      </c>
      <c r="E45" s="10" t="s">
        <v>74</v>
      </c>
      <c r="F45" s="12">
        <v>46328.0</v>
      </c>
      <c r="G45" s="12">
        <v>46339.0</v>
      </c>
      <c r="H45" s="15">
        <v>0.0</v>
      </c>
    </row>
    <row r="46" ht="34.5" customHeight="1">
      <c r="A46" s="9" t="s">
        <v>60</v>
      </c>
      <c r="B46" s="10" t="s">
        <v>130</v>
      </c>
      <c r="C46" s="10" t="s">
        <v>131</v>
      </c>
      <c r="D46" s="11" t="s">
        <v>132</v>
      </c>
      <c r="E46" s="10" t="s">
        <v>21</v>
      </c>
      <c r="F46" s="12">
        <v>46335.0</v>
      </c>
      <c r="G46" s="12">
        <v>46343.0</v>
      </c>
      <c r="H46" s="15">
        <v>0.0</v>
      </c>
    </row>
    <row r="47" ht="34.5" customHeight="1">
      <c r="A47" s="9"/>
      <c r="B47" s="10" t="s">
        <v>133</v>
      </c>
      <c r="C47" s="10" t="s">
        <v>134</v>
      </c>
      <c r="D47" s="11" t="s">
        <v>135</v>
      </c>
      <c r="E47" s="10" t="s">
        <v>32</v>
      </c>
      <c r="F47" s="12">
        <v>46335.0</v>
      </c>
      <c r="G47" s="12">
        <v>46343.0</v>
      </c>
      <c r="H47" s="15">
        <v>0.0</v>
      </c>
    </row>
    <row r="48" ht="34.5" customHeight="1">
      <c r="A48" s="9"/>
      <c r="B48" s="10" t="s">
        <v>136</v>
      </c>
      <c r="C48" s="10" t="s">
        <v>137</v>
      </c>
      <c r="D48" s="11" t="s">
        <v>138</v>
      </c>
      <c r="E48" s="10" t="s">
        <v>40</v>
      </c>
      <c r="F48" s="12">
        <v>46335.0</v>
      </c>
      <c r="G48" s="12">
        <v>46343.0</v>
      </c>
      <c r="H48" s="15">
        <v>0.0</v>
      </c>
    </row>
    <row r="49" ht="34.5" customHeight="1">
      <c r="A49" s="9"/>
      <c r="B49" s="10" t="s">
        <v>139</v>
      </c>
      <c r="C49" s="10" t="s">
        <v>140</v>
      </c>
      <c r="D49" s="11" t="s">
        <v>141</v>
      </c>
      <c r="E49" s="10" t="s">
        <v>74</v>
      </c>
      <c r="F49" s="12">
        <v>46342.0</v>
      </c>
      <c r="G49" s="12">
        <v>46350.0</v>
      </c>
      <c r="H49" s="15">
        <v>0.0</v>
      </c>
    </row>
    <row r="50" ht="34.5" customHeight="1">
      <c r="A50" s="9"/>
      <c r="B50" s="10" t="s">
        <v>142</v>
      </c>
      <c r="C50" s="10" t="s">
        <v>143</v>
      </c>
      <c r="D50" s="11" t="s">
        <v>144</v>
      </c>
      <c r="E50" s="10" t="s">
        <v>74</v>
      </c>
      <c r="F50" s="12">
        <v>46349.0</v>
      </c>
      <c r="G50" s="12">
        <v>46352.0</v>
      </c>
      <c r="H50" s="15">
        <v>0.0</v>
      </c>
    </row>
    <row r="51" ht="34.5" customHeight="1">
      <c r="A51" s="9"/>
      <c r="B51" s="10" t="s">
        <v>145</v>
      </c>
      <c r="C51" s="10" t="s">
        <v>146</v>
      </c>
      <c r="D51" s="11" t="s">
        <v>147</v>
      </c>
      <c r="E51" s="10" t="s">
        <v>64</v>
      </c>
      <c r="F51" s="12">
        <v>46353.0</v>
      </c>
      <c r="G51" s="12">
        <v>46353.0</v>
      </c>
      <c r="H51" s="15">
        <v>0.0</v>
      </c>
    </row>
    <row r="52" ht="34.5" customHeight="1">
      <c r="A52" s="9"/>
      <c r="B52" s="10" t="s">
        <v>120</v>
      </c>
      <c r="C52" s="10" t="s">
        <v>121</v>
      </c>
      <c r="D52" s="11" t="s">
        <v>122</v>
      </c>
      <c r="E52" s="10" t="s">
        <v>123</v>
      </c>
      <c r="F52" s="12">
        <v>46342.0</v>
      </c>
      <c r="G52" s="12">
        <v>46353.0</v>
      </c>
      <c r="H52" s="15">
        <v>0.0</v>
      </c>
    </row>
    <row r="53" ht="34.5" customHeight="1">
      <c r="A53" s="9"/>
      <c r="B53" s="10" t="s">
        <v>148</v>
      </c>
      <c r="C53" s="10" t="s">
        <v>149</v>
      </c>
      <c r="D53" s="11" t="s">
        <v>150</v>
      </c>
      <c r="E53" s="10" t="s">
        <v>21</v>
      </c>
      <c r="F53" s="12">
        <v>46356.0</v>
      </c>
      <c r="G53" s="12">
        <v>46358.0</v>
      </c>
      <c r="H53" s="15">
        <v>0.0</v>
      </c>
    </row>
    <row r="54" ht="34.5" customHeight="1">
      <c r="A54" s="9"/>
      <c r="B54" s="10" t="s">
        <v>151</v>
      </c>
      <c r="C54" s="10" t="s">
        <v>152</v>
      </c>
      <c r="D54" s="11" t="s">
        <v>153</v>
      </c>
      <c r="E54" s="10" t="s">
        <v>74</v>
      </c>
      <c r="F54" s="12">
        <v>46359.0</v>
      </c>
      <c r="G54" s="12">
        <v>46360.0</v>
      </c>
      <c r="H54" s="15">
        <v>0.0</v>
      </c>
    </row>
    <row r="55" ht="24.75" customHeight="1">
      <c r="A55" s="16" t="s">
        <v>60</v>
      </c>
      <c r="B55" s="17" t="s">
        <v>154</v>
      </c>
      <c r="C55" s="18">
        <v>46360.0</v>
      </c>
      <c r="D55" s="2"/>
      <c r="E55" s="2"/>
      <c r="F55" s="2"/>
      <c r="G55" s="3"/>
      <c r="H55" s="19">
        <f>AVERAGE(H44:H54)</f>
        <v>0</v>
      </c>
    </row>
    <row r="56" ht="15.75" customHeight="1"/>
    <row r="57" ht="24.75" customHeight="1">
      <c r="A57" s="16"/>
      <c r="B57" s="17" t="s">
        <v>155</v>
      </c>
      <c r="C57" s="21"/>
      <c r="H57" s="22">
        <f>AVERAGE(H11,H12,H13,H14,H15,H16,H17,H18,H19,H20,H21,H22,H23,H24,H25,H26,H27,H30,H31,H32,H33,H34,H35,H36,H37,H38,H39,H40,H41,H44,H45,H46,H47,H48,H49,H50,H51,H52,H53,H54)</f>
        <v>0.35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8:E8"/>
    <mergeCell ref="C28:G28"/>
    <mergeCell ref="C42:G42"/>
    <mergeCell ref="C55:G55"/>
    <mergeCell ref="B1:H1"/>
    <mergeCell ref="C2:E2"/>
    <mergeCell ref="C3:E3"/>
    <mergeCell ref="C4:E4"/>
    <mergeCell ref="C5:E5"/>
    <mergeCell ref="C6:E6"/>
    <mergeCell ref="C7:E7"/>
  </mergeCells>
  <conditionalFormatting sqref="H11:H49">
    <cfRule type="cellIs" dxfId="0" priority="1" operator="equal">
      <formula>1</formula>
    </cfRule>
  </conditionalFormatting>
  <dataValidations>
    <dataValidation type="decimal" allowBlank="1" showInputMessage="1" showErrorMessage="1" prompt="Valor fuera de rango - El avance debe ser un número entre 0 y 1 (0 % a 100 %)." sqref="H11:H49">
      <formula1>0.0</formula1>
      <formula2>1.0</formula2>
    </dataValidation>
  </dataValidations>
  <printOptions horizontalCentered="1"/>
  <pageMargins bottom="0.4" footer="0.0" header="0.0" left="0.3" right="0.3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2026-09-03T19:59:20Z</dcterms:created>
  <dc:creator>openpyxl</dc:creator>
</cp:coreProperties>
</file>