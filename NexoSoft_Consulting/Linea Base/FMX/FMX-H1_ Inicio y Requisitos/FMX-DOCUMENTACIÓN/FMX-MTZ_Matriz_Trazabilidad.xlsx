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F ↔ CUS" sheetId="2" state="visible" r:id="rId4"/>
    <sheet name="RNF ↔ CUS" sheetId="3" state="visible" r:id="rId5"/>
    <sheet name="PN ↔ CUS" sheetId="4" state="visible" r:id="rId6"/>
    <sheet name="CUS ↔ Entrega" sheetId="5" state="visible" r:id="rId7"/>
    <sheet name="CUS ↔ Pruebas" sheetId="6" state="visible" r:id="rId8"/>
    <sheet name="Cobertura" sheetId="7" state="visible" r:id="rId9"/>
  </sheets>
  <definedNames>
    <definedName function="false" hidden="true" localSheetId="5" name="_xlnm._FilterDatabase" vbProcedure="false">'CUS ↔ Pruebas'!$B$4:$G$33</definedName>
    <definedName function="false" hidden="true" localSheetId="1" name="_xlnm._FilterDatabase" vbProcedure="false">'RF ↔ CUS'!$B$4:$P$33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<sst xmlns="http://schemas.openxmlformats.org/spreadsheetml/2006/main" count="777" uniqueCount="423">
  <si>
    <t xml:space="preserve">MATRIZ DE TRAZABILIDAD  ·  FERREMAX (FMX)</t>
  </si>
  <si>
    <t xml:space="preserve">Documento</t>
  </si>
  <si>
    <t xml:space="preserve">FMX-MTZ.xlsx  —  Matriz de Trazabilidad RF ↔ CUS</t>
  </si>
  <si>
    <t xml:space="preserve">Versión</t>
  </si>
  <si>
    <t xml:space="preserve">1.0</t>
  </si>
  <si>
    <t xml:space="preserve">Fecha de consolidación</t>
  </si>
  <si>
    <t xml:space="preserve">16/09/2026</t>
  </si>
  <si>
    <t xml:space="preserve">Actividad del cronograma</t>
  </si>
  <si>
    <t xml:space="preserve">Consolidación de la matriz de trazabilidad RF ↔ CUS</t>
  </si>
  <si>
    <t xml:space="preserve">Hito</t>
  </si>
  <si>
    <t xml:space="preserve">Hito 1 — Inicio y Requisitos</t>
  </si>
  <si>
    <t xml:space="preserve">Responsable</t>
  </si>
  <si>
    <t xml:space="preserve">Vegas Villalva</t>
  </si>
  <si>
    <t xml:space="preserve">Grupo</t>
  </si>
  <si>
    <t xml:space="preserve">Grupo 2</t>
  </si>
  <si>
    <t xml:space="preserve">Proyecto</t>
  </si>
  <si>
    <t xml:space="preserve">FERREMAX — Sistema Web de Gestión para Ferretería</t>
  </si>
  <si>
    <t xml:space="preserve">Curso</t>
  </si>
  <si>
    <t xml:space="preserve">Diseño de Software · UNMSM · FISI · E.P. de Ingeniería de Software</t>
  </si>
  <si>
    <t xml:space="preserve">Fuentes</t>
  </si>
  <si>
    <t xml:space="preserve">DOCUMENTACIÓN DE FERREMAX (RF y RNF) · DAS_Ferremax_Grupo1 · FMX-C01 a FMX-C09</t>
  </si>
  <si>
    <t xml:space="preserve">PROPÓSITO</t>
  </si>
  <si>
    <t xml:space="preserve">Esta matriz relaciona cada requisito del sistema con el caso de uso que lo realiza. Sirve para tres cosas:</t>
  </si>
  <si>
    <t xml:space="preserve">1)  Comprobar que ningún requisito quedó sin implementar (cobertura hacia adelante).</t>
  </si>
  <si>
    <t xml:space="preserve">2)  Comprobar que ningún caso de uso existe sin un requisito que lo justifique (cobertura hacia atrás).</t>
  </si>
  <si>
    <t xml:space="preserve">3)  Medir el impacto de un cambio: al modificar un RF se sabe de inmediato qué casos de uso, qué documentos</t>
  </si>
  <si>
    <t xml:space="preserve">     y qué casos de prueba hay que revisar.</t>
  </si>
  <si>
    <t xml:space="preserve">LEYENDA DE LA MATRIZ</t>
  </si>
  <si>
    <t xml:space="preserve">X</t>
  </si>
  <si>
    <t xml:space="preserve">Realización principal: el caso de uso implementa el requisito.</t>
  </si>
  <si>
    <t xml:space="preserve">o</t>
  </si>
  <si>
    <t xml:space="preserve">Participación de soporte: el caso de uso usa o depende del requisito, sin ser su dueño.</t>
  </si>
  <si>
    <t xml:space="preserve">Celda vacía: no existe relación entre el requisito y el caso de uso.</t>
  </si>
  <si>
    <t xml:space="preserve">CONTENIDO DEL LIBRO</t>
  </si>
  <si>
    <t xml:space="preserve">RF ↔ CUS</t>
  </si>
  <si>
    <t xml:space="preserve">Matriz cruzada de los 29 requisitos funcionales contra los 9 casos de uso.</t>
  </si>
  <si>
    <t xml:space="preserve">RNF ↔ CUS</t>
  </si>
  <si>
    <t xml:space="preserve">Matriz cruzada de los 19 requisitos no funcionales contra los 9 casos de uso.</t>
  </si>
  <si>
    <t xml:space="preserve">PN ↔ CUS</t>
  </si>
  <si>
    <t xml:space="preserve">Relación entre los 3 procesos de negocio y los casos de uso que los automatizan.</t>
  </si>
  <si>
    <t xml:space="preserve">CUS ↔ Entrega</t>
  </si>
  <si>
    <t xml:space="preserve">Responsable, documento, rama y paquete de cada caso de uso.</t>
  </si>
  <si>
    <t xml:space="preserve">CUS ↔ Pruebas</t>
  </si>
  <si>
    <t xml:space="preserve">Casos de prueba previstos para el Hito 3, por caso de uso.</t>
  </si>
  <si>
    <t xml:space="preserve">Cobertura</t>
  </si>
  <si>
    <t xml:space="preserve">Análisis de cobertura calculado con fórmulas sobre las hojas anteriores.</t>
  </si>
  <si>
    <t xml:space="preserve">MATRIZ DE TRAZABILIDAD  ·  REQUISITOS FUNCIONALES ↔ CASOS DE USO</t>
  </si>
  <si>
    <t xml:space="preserve">X = realización principal   ·   o = participación de soporte</t>
  </si>
  <si>
    <t xml:space="preserve">Código</t>
  </si>
  <si>
    <t xml:space="preserve">Requisito funcional</t>
  </si>
  <si>
    <t xml:space="preserve">Descripción</t>
  </si>
  <si>
    <t xml:space="preserve">Módulo</t>
  </si>
  <si>
    <t xml:space="preserve">CUS-01</t>
  </si>
  <si>
    <t xml:space="preserve">CUS-02</t>
  </si>
  <si>
    <t xml:space="preserve">CUS-03</t>
  </si>
  <si>
    <t xml:space="preserve">CUS-04</t>
  </si>
  <si>
    <t xml:space="preserve">CUS-05</t>
  </si>
  <si>
    <t xml:space="preserve">CUS-06</t>
  </si>
  <si>
    <t xml:space="preserve">CUS-07</t>
  </si>
  <si>
    <t xml:space="preserve">CUS-08</t>
  </si>
  <si>
    <t xml:space="preserve">CUS-09</t>
  </si>
  <si>
    <t xml:space="preserve">Nº de CUS</t>
  </si>
  <si>
    <t xml:space="preserve">Estado</t>
  </si>
  <si>
    <t xml:space="preserve">RF-01</t>
  </si>
  <si>
    <t xml:space="preserve">Iniciar sesión</t>
  </si>
  <si>
    <t xml:space="preserve">Autenticación de administradores y vendedores mediante nombre de usuario y contraseña.</t>
  </si>
  <si>
    <t xml:space="preserve">Autenticación</t>
  </si>
  <si>
    <t xml:space="preserve">RF-02</t>
  </si>
  <si>
    <t xml:space="preserve">Cerrar sesión</t>
  </si>
  <si>
    <t xml:space="preserve">Cierre seguro de la sesión del usuario.</t>
  </si>
  <si>
    <t xml:space="preserve">RF-03</t>
  </si>
  <si>
    <t xml:space="preserve">Control de acceso por roles</t>
  </si>
  <si>
    <t xml:space="preserve">Muestra únicamente las opciones que corresponden al rol del usuario autenticado.</t>
  </si>
  <si>
    <t xml:space="preserve">RF-04</t>
  </si>
  <si>
    <t xml:space="preserve">Bloqueo por intentos fallidos</t>
  </si>
  <si>
    <t xml:space="preserve">Bloqueo temporal de 5 minutos tras 3 intentos fallidos de inicio de sesión.</t>
  </si>
  <si>
    <t xml:space="preserve">RF-05</t>
  </si>
  <si>
    <t xml:space="preserve">Registrar producto</t>
  </si>
  <si>
    <t xml:space="preserve">Alta de un producto con nombre, proveedor, cantidad inicial, precio, categoría y ubicación.</t>
  </si>
  <si>
    <t xml:space="preserve">Productos</t>
  </si>
  <si>
    <t xml:space="preserve">RF-06</t>
  </si>
  <si>
    <t xml:space="preserve">Modificar producto</t>
  </si>
  <si>
    <t xml:space="preserve">Edición de los datos de un producto existente.</t>
  </si>
  <si>
    <t xml:space="preserve">RF-07</t>
  </si>
  <si>
    <t xml:space="preserve">Eliminar producto</t>
  </si>
  <si>
    <t xml:space="preserve">Baja del producto: física si no tiene movimientos, lógica si los tiene.</t>
  </si>
  <si>
    <t xml:space="preserve">RF-08</t>
  </si>
  <si>
    <t xml:space="preserve">Consultar productos</t>
  </si>
  <si>
    <t xml:space="preserve">Búsqueda de productos por nombre, categoría o proveedor.</t>
  </si>
  <si>
    <t xml:space="preserve">RF-09</t>
  </si>
  <si>
    <t xml:space="preserve">Control de stock mínimo</t>
  </si>
  <si>
    <t xml:space="preserve">Definición de un stock mínimo por producto y alerta al alcanzarlo.</t>
  </si>
  <si>
    <t xml:space="preserve">RF-10</t>
  </si>
  <si>
    <t xml:space="preserve">Realizar venta</t>
  </si>
  <si>
    <t xml:space="preserve">Registro de una venta seleccionando productos y cantidades.</t>
  </si>
  <si>
    <t xml:space="preserve">Ventas</t>
  </si>
  <si>
    <t xml:space="preserve">RF-11</t>
  </si>
  <si>
    <t xml:space="preserve">Cálculo automático de totales</t>
  </si>
  <si>
    <t xml:space="preserve">Cálculo del subtotal, los impuestos y el total de la venta.</t>
  </si>
  <si>
    <t xml:space="preserve">RF-12</t>
  </si>
  <si>
    <t xml:space="preserve">Verificar stock disponible</t>
  </si>
  <si>
    <t xml:space="preserve">Validación de que la cantidad solicitada no supere el stock disponible.</t>
  </si>
  <si>
    <t xml:space="preserve">RF-13</t>
  </si>
  <si>
    <t xml:space="preserve">Generar factura</t>
  </si>
  <si>
    <t xml:space="preserve">Emisión automática de la factura con número, fecha, productos, importes y vendedor.</t>
  </si>
  <si>
    <t xml:space="preserve">RF-14</t>
  </si>
  <si>
    <t xml:space="preserve">Imprimir factura</t>
  </si>
  <si>
    <t xml:space="preserve">Impresión de la factura generada desde el navegador.</t>
  </si>
  <si>
    <t xml:space="preserve">RF-15</t>
  </si>
  <si>
    <t xml:space="preserve">Historial de ventas</t>
  </si>
  <si>
    <t xml:space="preserve">Registro de cada venta con fecha, hora, vendedor, productos y total, para su consulta.</t>
  </si>
  <si>
    <t xml:space="preserve">RF-16</t>
  </si>
  <si>
    <t xml:space="preserve">Actualización de stock por venta</t>
  </si>
  <si>
    <t xml:space="preserve">Reducción automática del stock de cada producto al confirmar la venta.</t>
  </si>
  <si>
    <t xml:space="preserve">Inventario</t>
  </si>
  <si>
    <t xml:space="preserve">RF-17</t>
  </si>
  <si>
    <t xml:space="preserve">Actualización de stock por compra</t>
  </si>
  <si>
    <t xml:space="preserve">Incremento automático del stock al registrar una entrada por compra.</t>
  </si>
  <si>
    <t xml:space="preserve">RF-18</t>
  </si>
  <si>
    <t xml:space="preserve">Consultar stock actual</t>
  </si>
  <si>
    <t xml:space="preserve">Consulta del stock disponible de todos los productos o de uno específico.</t>
  </si>
  <si>
    <t xml:space="preserve">RF-19</t>
  </si>
  <si>
    <t xml:space="preserve">Imprimir lista de stock</t>
  </si>
  <si>
    <t xml:space="preserve">Reporte imprimible o exportable con el listado de productos, cantidades, precios y valor.</t>
  </si>
  <si>
    <t xml:space="preserve">RF-20</t>
  </si>
  <si>
    <t xml:space="preserve">Alertas de stock bajo</t>
  </si>
  <si>
    <t xml:space="preserve">Indicador visual cuando un producto tiene stock igual o inferior al mínimo.</t>
  </si>
  <si>
    <t xml:space="preserve">RF-21</t>
  </si>
  <si>
    <t xml:space="preserve">Reporte de ventas por período</t>
  </si>
  <si>
    <t xml:space="preserve">Reporte de ventas totales por día, semana, mes o rango personalizado.</t>
  </si>
  <si>
    <t xml:space="preserve">Reportes</t>
  </si>
  <si>
    <t xml:space="preserve">RF-22</t>
  </si>
  <si>
    <t xml:space="preserve">Ver productos más vendidos</t>
  </si>
  <si>
    <t xml:space="preserve">Gráfico de barras con los 5 productos más vendidos del rango seleccionado.</t>
  </si>
  <si>
    <t xml:space="preserve">RF-23</t>
  </si>
  <si>
    <t xml:space="preserve">Ver productos menos vendidos</t>
  </si>
  <si>
    <t xml:space="preserve">Gráfico de barras con los 5 productos menos vendidos, excluyendo los que no registran ventas.</t>
  </si>
  <si>
    <t xml:space="preserve">RF-24</t>
  </si>
  <si>
    <t xml:space="preserve">Exportar reportes</t>
  </si>
  <si>
    <t xml:space="preserve">Exportación de los reportes de ventas a PDF o CSV.</t>
  </si>
  <si>
    <t xml:space="preserve">RF-25</t>
  </si>
  <si>
    <t xml:space="preserve">Filtrar reportes por vendedor</t>
  </si>
  <si>
    <t xml:space="preserve">Filtrado de los reportes de ventas por vendedor, además del período.</t>
  </si>
  <si>
    <t xml:space="preserve">RF-26</t>
  </si>
  <si>
    <t xml:space="preserve">Registrar usuario</t>
  </si>
  <si>
    <t xml:space="preserve">Creación de usuarios con rol vendedor, asignando nombre de usuario y contraseña.</t>
  </si>
  <si>
    <t xml:space="preserve">Usuarios</t>
  </si>
  <si>
    <t xml:space="preserve">RF-27</t>
  </si>
  <si>
    <t xml:space="preserve">Eliminar usuario</t>
  </si>
  <si>
    <t xml:space="preserve">Baja lógica de un usuario, impidiendo su acceso futuro.</t>
  </si>
  <si>
    <t xml:space="preserve">RF-28</t>
  </si>
  <si>
    <t xml:space="preserve">Listar usuarios</t>
  </si>
  <si>
    <t xml:space="preserve">Listado de los usuarios registrados con su nombre y su rol.</t>
  </si>
  <si>
    <t xml:space="preserve">RF-29</t>
  </si>
  <si>
    <t xml:space="preserve">Cambiar contraseña</t>
  </si>
  <si>
    <t xml:space="preserve">Cambio de la contraseña propia por parte de cualquier usuario autenticado.</t>
  </si>
  <si>
    <t xml:space="preserve">REQUISITOS POR CASO DE USO →</t>
  </si>
  <si>
    <t xml:space="preserve">MATRIZ DE TRAZABILIDAD  ·  REQUISITOS NO FUNCIONALES ↔ CASOS DE USO</t>
  </si>
  <si>
    <t xml:space="preserve">X = el requisito restringe directamente ese caso de uso   ·   TODOS = restricción transversal a todo el sistema</t>
  </si>
  <si>
    <t xml:space="preserve">Requisito no funcional</t>
  </si>
  <si>
    <t xml:space="preserve">Categoría</t>
  </si>
  <si>
    <t xml:space="preserve">Criterio de aceptación</t>
  </si>
  <si>
    <t xml:space="preserve">RNF-01</t>
  </si>
  <si>
    <t xml:space="preserve">Tiempo de respuesta en ventas</t>
  </si>
  <si>
    <t xml:space="preserve">Rendimiento</t>
  </si>
  <si>
    <t xml:space="preserve">Menos de 2 segundos entre la confirmación de la venta y la factura en pantalla.</t>
  </si>
  <si>
    <t xml:space="preserve">RNF-02</t>
  </si>
  <si>
    <t xml:space="preserve">Tiempo de respuesta en reportes</t>
  </si>
  <si>
    <t xml:space="preserve">Menos de 5 segundos para un reporte de un mes.</t>
  </si>
  <si>
    <t xml:space="preserve">RNF-03</t>
  </si>
  <si>
    <t xml:space="preserve">Concurrencia</t>
  </si>
  <si>
    <t xml:space="preserve">Soporte de al menos 3 vendedores operando de forma simultánea.</t>
  </si>
  <si>
    <t xml:space="preserve">RNF-04</t>
  </si>
  <si>
    <t xml:space="preserve">Disponibilidad</t>
  </si>
  <si>
    <t xml:space="preserve">99 % de tiempo operativo durante el horario de atención.</t>
  </si>
  <si>
    <t xml:space="preserve">RNF-05</t>
  </si>
  <si>
    <t xml:space="preserve">Encriptación de contraseñas</t>
  </si>
  <si>
    <t xml:space="preserve">Seguridad</t>
  </si>
  <si>
    <t xml:space="preserve">Almacenamiento de contraseñas con hash seguro (bcrypt).</t>
  </si>
  <si>
    <t xml:space="preserve">RNF-06</t>
  </si>
  <si>
    <t xml:space="preserve">Protección contra inyección SQL</t>
  </si>
  <si>
    <t xml:space="preserve">Consultas parametrizadas o ORM en todo acceso a datos.</t>
  </si>
  <si>
    <t xml:space="preserve">RNF-07</t>
  </si>
  <si>
    <t xml:space="preserve">Protección de sesiones</t>
  </si>
  <si>
    <t xml:space="preserve">Expiración automática de la sesión tras 30 minutos de inactividad.</t>
  </si>
  <si>
    <t xml:space="preserve">RNF-08</t>
  </si>
  <si>
    <t xml:space="preserve">Registro de auditoría</t>
  </si>
  <si>
    <t xml:space="preserve">Log de cada venta con vendedor, fecha y hora.</t>
  </si>
  <si>
    <t xml:space="preserve">RNF-09</t>
  </si>
  <si>
    <t xml:space="preserve">Interfaz intuitiva</t>
  </si>
  <si>
    <t xml:space="preserve">Usabilidad</t>
  </si>
  <si>
    <t xml:space="preserve">Interfaz clara, con botones grandes y etiquetas visibles.</t>
  </si>
  <si>
    <t xml:space="preserve">RNF-10</t>
  </si>
  <si>
    <t xml:space="preserve">Accesibilidad desde navegadores</t>
  </si>
  <si>
    <t xml:space="preserve">Compatibilidad con versiones recientes de Chrome, Firefox y Edge.</t>
  </si>
  <si>
    <t xml:space="preserve">RNF-11</t>
  </si>
  <si>
    <t xml:space="preserve">Diseño responsivo</t>
  </si>
  <si>
    <t xml:space="preserve">Adaptación de la interfaz al tamaño de pantalla en tabletas.</t>
  </si>
  <si>
    <t xml:space="preserve">RNF-12</t>
  </si>
  <si>
    <t xml:space="preserve">Mensajes de error claros</t>
  </si>
  <si>
    <t xml:space="preserve">Mensajes descriptivos y orientados a la acción del usuario.</t>
  </si>
  <si>
    <t xml:space="preserve">RNF-13</t>
  </si>
  <si>
    <t xml:space="preserve">Arquitectura MVC</t>
  </si>
  <si>
    <t xml:space="preserve">Mantenibilidad</t>
  </si>
  <si>
    <t xml:space="preserve">Separación de la lógica de negocio, la interfaz y el control de flujo.</t>
  </si>
  <si>
    <t xml:space="preserve">RNF-14</t>
  </si>
  <si>
    <t xml:space="preserve">Código documentado</t>
  </si>
  <si>
    <t xml:space="preserve">Comentarios y documentación básica en el código fuente.</t>
  </si>
  <si>
    <t xml:space="preserve">RNF-15</t>
  </si>
  <si>
    <t xml:space="preserve">Portabilidad</t>
  </si>
  <si>
    <t xml:space="preserve">Ejecución en servidor local Windows o Linux y, en el futuro, en la nube.</t>
  </si>
  <si>
    <t xml:space="preserve">RNF-16</t>
  </si>
  <si>
    <t xml:space="preserve">Integridad de datos</t>
  </si>
  <si>
    <t xml:space="preserve">Confiabilidad</t>
  </si>
  <si>
    <t xml:space="preserve">Sin stock negativo ni ventas parcialmente registradas.</t>
  </si>
  <si>
    <t xml:space="preserve">RNF-17</t>
  </si>
  <si>
    <t xml:space="preserve">Respaldo de información</t>
  </si>
  <si>
    <t xml:space="preserve">Mecanismo de respaldo periódico de la base de datos.</t>
  </si>
  <si>
    <t xml:space="preserve">RNF-18</t>
  </si>
  <si>
    <t xml:space="preserve">Interfaz web</t>
  </si>
  <si>
    <t xml:space="preserve">Interfaz</t>
  </si>
  <si>
    <t xml:space="preserve">Acceso mediante navegador, sin instalar software adicional.</t>
  </si>
  <si>
    <t xml:space="preserve">RNF-19</t>
  </si>
  <si>
    <t xml:space="preserve">Impresión desde navegador</t>
  </si>
  <si>
    <t xml:space="preserve">Impresión de facturas y reportes con la función nativa del navegador.</t>
  </si>
  <si>
    <t xml:space="preserve">MATRIZ DE TRAZABILIDAD  ·  PROCESOS DE NEGOCIO ↔ CASOS DE USO</t>
  </si>
  <si>
    <t xml:space="preserve">Origen: Documento de Negocio (FMX-DNG). X = el caso de uso automatiza una actividad de ese proceso.</t>
  </si>
  <si>
    <t xml:space="preserve">Proceso de negocio</t>
  </si>
  <si>
    <t xml:space="preserve">PN1</t>
  </si>
  <si>
    <t xml:space="preserve">Venta al cliente</t>
  </si>
  <si>
    <t xml:space="preserve">Atención en mostrador, cobro y emisión del comprobante.</t>
  </si>
  <si>
    <t xml:space="preserve">PN2</t>
  </si>
  <si>
    <t xml:space="preserve">Gestión de inventario</t>
  </si>
  <si>
    <t xml:space="preserve">Conteo, reposición y control de las existencias del almacén.</t>
  </si>
  <si>
    <t xml:space="preserve">PN3</t>
  </si>
  <si>
    <t xml:space="preserve">Administración y análisis</t>
  </si>
  <si>
    <t xml:space="preserve">Gestión del personal del negocio y análisis de los resultados de venta.</t>
  </si>
  <si>
    <t xml:space="preserve">CASOS DE USO SIN PROCESO DE NEGOCIO ASOCIADO</t>
  </si>
  <si>
    <t xml:space="preserve">Estado de cada caso de uso →</t>
  </si>
  <si>
    <t xml:space="preserve">TRAZABILIDAD DE ENTREGA  ·  CASO DE USO ↔ RESPONSABLE, DOCUMENTO Y RAMA</t>
  </si>
  <si>
    <t xml:space="preserve">Origen: cronograma FMX-CRN.xlsx, actividades del Hito 1 y del Hito 2.</t>
  </si>
  <si>
    <t xml:space="preserve">Caso de uso</t>
  </si>
  <si>
    <t xml:space="preserve">Nombre</t>
  </si>
  <si>
    <t xml:space="preserve">Paquete</t>
  </si>
  <si>
    <t xml:space="preserve">Documento de especificación</t>
  </si>
  <si>
    <t xml:space="preserve">Rama en GitHub</t>
  </si>
  <si>
    <t xml:space="preserve">Requisitos funcionales</t>
  </si>
  <si>
    <t xml:space="preserve">Castillejo Huancas</t>
  </si>
  <si>
    <t xml:space="preserve">FMX-C01.docx</t>
  </si>
  <si>
    <t xml:space="preserve">feature/c01</t>
  </si>
  <si>
    <t xml:space="preserve">RF-01, RF-03, RF-04</t>
  </si>
  <si>
    <t xml:space="preserve">FMX-C02.docx</t>
  </si>
  <si>
    <t xml:space="preserve">feature/c02</t>
  </si>
  <si>
    <t xml:space="preserve">Mantener productos</t>
  </si>
  <si>
    <t xml:space="preserve">Mallqui Meza</t>
  </si>
  <si>
    <t xml:space="preserve">FMX-C03.docx</t>
  </si>
  <si>
    <t xml:space="preserve">feature/c03</t>
  </si>
  <si>
    <t xml:space="preserve">RF-05, RF-06, RF-07, RF-08, RF-09, RF-17, RF-18, RF-19</t>
  </si>
  <si>
    <t xml:space="preserve">Registrar venta</t>
  </si>
  <si>
    <t xml:space="preserve">Cordero Alfaro</t>
  </si>
  <si>
    <t xml:space="preserve">FMX-C04.docx</t>
  </si>
  <si>
    <t xml:space="preserve">feature/c04</t>
  </si>
  <si>
    <t xml:space="preserve">RF-10, RF-11, RF-12, RF-13, RF-16</t>
  </si>
  <si>
    <t xml:space="preserve">Consultar factura</t>
  </si>
  <si>
    <t xml:space="preserve">FMX-C05.docx</t>
  </si>
  <si>
    <t xml:space="preserve">feature/c05</t>
  </si>
  <si>
    <t xml:space="preserve">Consultar historial de ventas</t>
  </si>
  <si>
    <t xml:space="preserve">Vásquez Sal y Rosas</t>
  </si>
  <si>
    <t xml:space="preserve">FMX-C06.docx</t>
  </si>
  <si>
    <t xml:space="preserve">feature/c06</t>
  </si>
  <si>
    <t xml:space="preserve">RF-15, RF-25</t>
  </si>
  <si>
    <t xml:space="preserve">Consultar movimientos de stock</t>
  </si>
  <si>
    <t xml:space="preserve">FMX-C07.docx</t>
  </si>
  <si>
    <t xml:space="preserve">feature/c07</t>
  </si>
  <si>
    <t xml:space="preserve">Mantener usuarios</t>
  </si>
  <si>
    <t xml:space="preserve">Administración</t>
  </si>
  <si>
    <t xml:space="preserve">Roman Hurtado</t>
  </si>
  <si>
    <t xml:space="preserve">FMX-C08.docx</t>
  </si>
  <si>
    <t xml:space="preserve">feature/c08</t>
  </si>
  <si>
    <t xml:space="preserve">RF-26, RF-27, RF-28, RF-29</t>
  </si>
  <si>
    <t xml:space="preserve">Generar reportes de ventas</t>
  </si>
  <si>
    <t xml:space="preserve">FMX-C09.docx</t>
  </si>
  <si>
    <t xml:space="preserve">feature/c09</t>
  </si>
  <si>
    <t xml:space="preserve">RF-21, RF-22, RF-23, RF-24</t>
  </si>
  <si>
    <t xml:space="preserve">TRAZABILIDAD DE VERIFICACIÓN  ·  CASO DE USO ↔ CASOS DE PRUEBA</t>
  </si>
  <si>
    <t xml:space="preserve">Estos casos de prueba se ejecutan en el Hito 3. Registre el resultado en la columna «Resultado» (celdas de fondo amarillo).</t>
  </si>
  <si>
    <t xml:space="preserve">ID</t>
  </si>
  <si>
    <t xml:space="preserve">Escenario de prueba</t>
  </si>
  <si>
    <t xml:space="preserve">Tipo</t>
  </si>
  <si>
    <t xml:space="preserve">Resultado esperado</t>
  </si>
  <si>
    <t xml:space="preserve">Resultado</t>
  </si>
  <si>
    <t xml:space="preserve">CP-01</t>
  </si>
  <si>
    <t xml:space="preserve">Ingreso con credenciales válidas</t>
  </si>
  <si>
    <t xml:space="preserve">Funcional</t>
  </si>
  <si>
    <t xml:space="preserve">El usuario accede y el menú corresponde a su rol.</t>
  </si>
  <si>
    <t xml:space="preserve">Pendiente</t>
  </si>
  <si>
    <t xml:space="preserve">CP-02</t>
  </si>
  <si>
    <t xml:space="preserve">Ingreso con credenciales incorrectas</t>
  </si>
  <si>
    <t xml:space="preserve">Se rechaza el acceso con mensaje genérico, sin revelar qué campo falló.</t>
  </si>
  <si>
    <t xml:space="preserve">CP-03</t>
  </si>
  <si>
    <t xml:space="preserve">Bloqueo tras tres intentos fallidos</t>
  </si>
  <si>
    <t xml:space="preserve">El cuarto intento se rechaza sin validar credenciales.</t>
  </si>
  <si>
    <t xml:space="preserve">CP-04</t>
  </si>
  <si>
    <t xml:space="preserve">Acceso denegado por rol a una ruta de administración</t>
  </si>
  <si>
    <t xml:space="preserve">Un vendedor recibe error 403 al invocar la ruta directamente.</t>
  </si>
  <si>
    <t xml:space="preserve">CP-05</t>
  </si>
  <si>
    <t xml:space="preserve">Cierre de sesión e invalidación en el servidor</t>
  </si>
  <si>
    <t xml:space="preserve">Tras salir, ninguna ruta protegida responde sin autenticarse de nuevo.</t>
  </si>
  <si>
    <t xml:space="preserve">CP-06</t>
  </si>
  <si>
    <t xml:space="preserve">Expiración de la sesión por inactividad</t>
  </si>
  <si>
    <t xml:space="preserve">A los 30 minutos sin actividad la sesión se cierra automáticamente.</t>
  </si>
  <si>
    <t xml:space="preserve">CP-07</t>
  </si>
  <si>
    <t xml:space="preserve">Alta de producto con movimiento de entrada</t>
  </si>
  <si>
    <t xml:space="preserve">El producto queda activo y se registra su movimiento de stock.</t>
  </si>
  <si>
    <t xml:space="preserve">CP-08</t>
  </si>
  <si>
    <t xml:space="preserve">Baja lógica de un producto con ventas asociadas</t>
  </si>
  <si>
    <t xml:space="preserve">El producto se desactiva y conserva su historial.</t>
  </si>
  <si>
    <t xml:space="preserve">CP-09</t>
  </si>
  <si>
    <t xml:space="preserve">Rechazo de producto duplicado</t>
  </si>
  <si>
    <t xml:space="preserve">No se admite otro producto activo con el mismo nombre y proveedor.</t>
  </si>
  <si>
    <t xml:space="preserve">CP-10</t>
  </si>
  <si>
    <t xml:space="preserve">Alerta al quedar por debajo del stock mínimo</t>
  </si>
  <si>
    <t xml:space="preserve">El producto aparece marcado como stock bajo.</t>
  </si>
  <si>
    <t xml:space="preserve">CP-11</t>
  </si>
  <si>
    <t xml:space="preserve">Venta de varios productos con cálculo de IGV</t>
  </si>
  <si>
    <t xml:space="preserve">Subtotal, IGV del 18 % y total correctos, redondeados a dos decimales.</t>
  </si>
  <si>
    <t xml:space="preserve">CP-12</t>
  </si>
  <si>
    <t xml:space="preserve">Rechazo por stock insuficiente</t>
  </si>
  <si>
    <t xml:space="preserve">La venta no se registra y se indica la cantidad máxima disponible.</t>
  </si>
  <si>
    <t xml:space="preserve">CP-13</t>
  </si>
  <si>
    <t xml:space="preserve">Reversión completa ante fallo al emitir la factura</t>
  </si>
  <si>
    <t xml:space="preserve">Integración</t>
  </si>
  <si>
    <t xml:space="preserve">No queda venta, ni detalle, ni descuento de stock.</t>
  </si>
  <si>
    <t xml:space="preserve">CP-14</t>
  </si>
  <si>
    <t xml:space="preserve">Venta simultánea de la última unidad</t>
  </si>
  <si>
    <t xml:space="preserve">Solo una venta prospera y el stock final nunca queda negativo.</t>
  </si>
  <si>
    <t xml:space="preserve">CP-15</t>
  </si>
  <si>
    <t xml:space="preserve">Numeración correlativa de facturas</t>
  </si>
  <si>
    <t xml:space="preserve">Los números son consecutivos, únicos y sin saltos.</t>
  </si>
  <si>
    <t xml:space="preserve">CP-16</t>
  </si>
  <si>
    <t xml:space="preserve">Visualización e impresión de la factura</t>
  </si>
  <si>
    <t xml:space="preserve">La factura muestra encabezado, detalle e importes, y es imprimible.</t>
  </si>
  <si>
    <t xml:space="preserve">CP-17</t>
  </si>
  <si>
    <t xml:space="preserve">Precio congelado tras un cambio de tarifa</t>
  </si>
  <si>
    <t xml:space="preserve">La factura conserva el precio cobrado en el momento de la venta.</t>
  </si>
  <si>
    <t xml:space="preserve">CP-18</t>
  </si>
  <si>
    <t xml:space="preserve">Alcance del historial según el rol</t>
  </si>
  <si>
    <t xml:space="preserve">El vendedor solo visualiza las ventas que él registró.</t>
  </si>
  <si>
    <t xml:space="preserve">CP-19</t>
  </si>
  <si>
    <t xml:space="preserve">Filtrado por rango de fechas y vendedor</t>
  </si>
  <si>
    <t xml:space="preserve">El listado refleja únicamente las ventas que cumplen el filtro.</t>
  </si>
  <si>
    <t xml:space="preserve">CP-20</t>
  </si>
  <si>
    <t xml:space="preserve">Trazabilidad de un movimiento de venta</t>
  </si>
  <si>
    <t xml:space="preserve">Cada venta genera su movimiento de salida con producto, cantidad y responsable.</t>
  </si>
  <si>
    <t xml:space="preserve">CP-21</t>
  </si>
  <si>
    <t xml:space="preserve">Filtrado de la bitácora por tipo y fecha</t>
  </si>
  <si>
    <t xml:space="preserve">Se listan solo los movimientos que cumplen los criterios.</t>
  </si>
  <si>
    <t xml:space="preserve">CP-22</t>
  </si>
  <si>
    <t xml:space="preserve">Alta de usuario con contraseña hasheada</t>
  </si>
  <si>
    <t xml:space="preserve">La contraseña se almacena como hash, nunca en texto plano.</t>
  </si>
  <si>
    <t xml:space="preserve">CP-23</t>
  </si>
  <si>
    <t xml:space="preserve">Rechazo de nombre de usuario duplicado</t>
  </si>
  <si>
    <t xml:space="preserve">No se admiten dos usuarios con el mismo nombre.</t>
  </si>
  <si>
    <t xml:space="preserve">CP-24</t>
  </si>
  <si>
    <t xml:space="preserve">Impedimento de autodesactivación</t>
  </si>
  <si>
    <t xml:space="preserve">El administrador no puede desactivar ni degradar su propia cuenta.</t>
  </si>
  <si>
    <t xml:space="preserve">CP-25</t>
  </si>
  <si>
    <t xml:space="preserve">Baja lógica sin pérdida de historial</t>
  </si>
  <si>
    <t xml:space="preserve">El usuario desactivado no accede, pero sigue asociado a sus ventas.</t>
  </si>
  <si>
    <t xml:space="preserve">CP-26</t>
  </si>
  <si>
    <t xml:space="preserve">Cálculo de indicadores del periodo</t>
  </si>
  <si>
    <t xml:space="preserve">Ingresos, ganancia, número de ventas y ticket promedio correctos.</t>
  </si>
  <si>
    <t xml:space="preserve">CP-27</t>
  </si>
  <si>
    <t xml:space="preserve">Ganancia calculada con costo congelado</t>
  </si>
  <si>
    <t xml:space="preserve">El margen usa el precio y el costo vigentes al momento de la venta.</t>
  </si>
  <si>
    <t xml:space="preserve">CP-28</t>
  </si>
  <si>
    <t xml:space="preserve">Gráficos de rotación de productos</t>
  </si>
  <si>
    <t xml:space="preserve">Se muestran los cinco más y los cinco menos vendidos, excluyendo los sin ventas.</t>
  </si>
  <si>
    <t xml:space="preserve">CP-29</t>
  </si>
  <si>
    <t xml:space="preserve">Reporte mensual dentro del límite de tiempo</t>
  </si>
  <si>
    <t xml:space="preserve">El reporte de un mes se genera en menos de 5 segundos.</t>
  </si>
  <si>
    <t xml:space="preserve">ANÁLISIS DE COBERTURA DE LA TRAZABILIDAD</t>
  </si>
  <si>
    <t xml:space="preserve">Todos los valores se calculan con fórmulas sobre las hojas anteriores: si cambia la matriz, cambian solos.</t>
  </si>
  <si>
    <t xml:space="preserve">Indicador</t>
  </si>
  <si>
    <t xml:space="preserve">Valor</t>
  </si>
  <si>
    <t xml:space="preserve">Lectura</t>
  </si>
  <si>
    <t xml:space="preserve">Requisitos funcionales especificados</t>
  </si>
  <si>
    <t xml:space="preserve">Total de RF declarados en la documentación del sistema.</t>
  </si>
  <si>
    <t xml:space="preserve">Requisitos funcionales con caso de uso asignado</t>
  </si>
  <si>
    <t xml:space="preserve">RF que tienen al menos una realización principal (X).</t>
  </si>
  <si>
    <t xml:space="preserve">Requisitos funcionales sin cobertura</t>
  </si>
  <si>
    <t xml:space="preserve">Debe ser 0. Cualquier otro valor señala un RF que nadie implementa.</t>
  </si>
  <si>
    <t xml:space="preserve">Cobertura de requisitos funcionales</t>
  </si>
  <si>
    <t xml:space="preserve">Porcentaje de RF cubiertos por algún caso de uso.</t>
  </si>
  <si>
    <t xml:space="preserve">Casos de uso especificados</t>
  </si>
  <si>
    <t xml:space="preserve">Total de CUS del sistema.</t>
  </si>
  <si>
    <t xml:space="preserve">Casos de uso sin requisito funcional asociado</t>
  </si>
  <si>
    <t xml:space="preserve">Debe ser 0. Un CUS sin RF es funcionalidad que nadie pidió.</t>
  </si>
  <si>
    <t xml:space="preserve">Requisitos no funcionales especificados</t>
  </si>
  <si>
    <t xml:space="preserve">Total de RNF declarados en la documentación.</t>
  </si>
  <si>
    <t xml:space="preserve">Requisitos no funcionales sin caso de uso asociado</t>
  </si>
  <si>
    <t xml:space="preserve">RNF que no restringen ningún CUS en concreto.</t>
  </si>
  <si>
    <t xml:space="preserve">Procesos de negocio modelados</t>
  </si>
  <si>
    <t xml:space="preserve">Procesos AS-IS levantados en el Documento de Negocio.</t>
  </si>
  <si>
    <t xml:space="preserve">Casos de prueba previstos</t>
  </si>
  <si>
    <t xml:space="preserve">Casos de prueba diseñados para el Hito 3.</t>
  </si>
  <si>
    <t xml:space="preserve">Casos de prueba conformes</t>
  </si>
  <si>
    <t xml:space="preserve">Se actualiza al registrar los resultados en la hoja «CUS ↔ Pruebas».</t>
  </si>
  <si>
    <t xml:space="preserve">Avance de la verificación</t>
  </si>
  <si>
    <t xml:space="preserve">Porcentaje de casos de prueba con resultado conforme.</t>
  </si>
  <si>
    <t xml:space="preserve">REQUISITOS FUNCIONALES POR CASO DE USO</t>
  </si>
  <si>
    <t xml:space="preserve">Nº de RF</t>
  </si>
  <si>
    <t xml:space="preserve">Requisitos funcionales que realiza</t>
  </si>
  <si>
    <t xml:space="preserve">CUS-01 — Iniciar sesión</t>
  </si>
  <si>
    <t xml:space="preserve">CUS-02 — Cerrar sesión</t>
  </si>
  <si>
    <t xml:space="preserve">CUS-03 — Mantener productos</t>
  </si>
  <si>
    <t xml:space="preserve">CUS-04 — Registrar venta</t>
  </si>
  <si>
    <t xml:space="preserve">CUS-05 — Consultar factura</t>
  </si>
  <si>
    <t xml:space="preserve">CUS-06 — Consultar historial de ventas</t>
  </si>
  <si>
    <t xml:space="preserve">CUS-07 — Consultar movimientos de stock</t>
  </si>
  <si>
    <t xml:space="preserve">CUS-08 — Mantener usuarios</t>
  </si>
  <si>
    <t xml:space="preserve">CUS-09 — Generar reportes de ventas</t>
  </si>
  <si>
    <t xml:space="preserve">Nota: la columna «Nº de RF» cuenta solo las realizaciones principales (X). Las participaciones de soporte (o) no se suman aquí para no contar dos veces un mismo requisito.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</si>
</sst>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73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2733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2E5AA8"/>
        <bgColor rgb="FF3366FF"/>
      </patternFill>
    </fill>
    <fill>
      <patternFill patternType="solid">
        <fgColor rgb="FFBDD7EE"/>
        <bgColor rgb="FFB7C0CC"/>
      </patternFill>
    </fill>
    <fill>
      <patternFill patternType="solid">
        <fgColor rgb="FFFFFFFF"/>
        <bgColor rgb="FFF5F8FD"/>
      </patternFill>
    </fill>
    <fill>
      <patternFill patternType="solid">
        <fgColor rgb="FF1F3864"/>
        <bgColor rgb="FF1F2733"/>
      </patternFill>
    </fill>
    <fill>
      <patternFill patternType="solid">
        <fgColor rgb="FFF5F8FD"/>
        <bgColor rgb="FFFFFFFF"/>
      </patternFill>
    </fill>
    <fill>
      <patternFill patternType="solid">
        <fgColor rgb="FFD8F0E4"/>
        <bgColor rgb="FFCCFFFF"/>
      </patternFill>
    </fill>
    <fill>
      <patternFill patternType="solid">
        <fgColor rgb="FFFFF4D6"/>
        <bgColor rgb="FFF5F8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5AA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1F2733"/>
          <bgColor rgb="FF000000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0CC"/>
      <rgbColor rgb="FF808080"/>
      <rgbColor rgb="FF9999FF"/>
      <rgbColor rgb="FF993366"/>
      <rgbColor rgb="FFFFF4D6"/>
      <rgbColor rgb="FFF5F8FD"/>
      <rgbColor rgb="FF660066"/>
      <rgbColor rgb="FFFF8080"/>
      <rgbColor rgb="FF2E5A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24" hidden="false" customHeight="true" outlineLevel="0" collapsed="false">
      <c r="B1" s="1" t="s">
        <v>0</v>
      </c>
      <c r="C1" s="1"/>
      <c r="D1" s="1"/>
      <c r="E1" s="1"/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 t="s">
        <v>9</v>
      </c>
      <c r="C7" s="3" t="s">
        <v>10</v>
      </c>
    </row>
    <row r="8" customFormat="false" ht="15" hidden="false" customHeight="false" outlineLevel="0" collapsed="false">
      <c r="B8" s="2" t="s">
        <v>11</v>
      </c>
      <c r="C8" s="3" t="s">
        <v>12</v>
      </c>
    </row>
    <row r="9" customFormat="false" ht="15" hidden="false" customHeight="false" outlineLevel="0" collapsed="false">
      <c r="B9" s="2" t="s">
        <v>13</v>
      </c>
      <c r="C9" s="3" t="s">
        <v>14</v>
      </c>
    </row>
    <row r="10" customFormat="false" ht="15" hidden="false" customHeight="false" outlineLevel="0" collapsed="false">
      <c r="B10" s="2" t="s">
        <v>15</v>
      </c>
      <c r="C10" s="3" t="s">
        <v>16</v>
      </c>
    </row>
    <row r="11" customFormat="false" ht="15" hidden="false" customHeight="false" outlineLevel="0" collapsed="false">
      <c r="B11" s="2" t="s">
        <v>17</v>
      </c>
      <c r="C11" s="3" t="s">
        <v>18</v>
      </c>
    </row>
    <row r="12" customFormat="false" ht="15" hidden="false" customHeight="false" outlineLevel="0" collapsed="false">
      <c r="B12" s="2" t="s">
        <v>19</v>
      </c>
      <c r="C12" s="3" t="s">
        <v>20</v>
      </c>
    </row>
    <row r="14" customFormat="false" ht="15" hidden="false" customHeight="false" outlineLevel="0" collapsed="false">
      <c r="B14" s="4" t="s">
        <v>21</v>
      </c>
    </row>
    <row r="15" customFormat="false" ht="15" hidden="false" customHeight="false" outlineLevel="0" collapsed="false">
      <c r="B15" s="5" t="s">
        <v>22</v>
      </c>
      <c r="C15" s="5"/>
      <c r="D15" s="5"/>
      <c r="E15" s="5"/>
      <c r="F15" s="5"/>
    </row>
    <row r="16" customFormat="false" ht="15" hidden="false" customHeight="false" outlineLevel="0" collapsed="false">
      <c r="B16" s="5" t="s">
        <v>23</v>
      </c>
      <c r="C16" s="5"/>
      <c r="D16" s="5"/>
      <c r="E16" s="5"/>
      <c r="F16" s="5"/>
    </row>
    <row r="17" customFormat="false" ht="15" hidden="false" customHeight="false" outlineLevel="0" collapsed="false">
      <c r="B17" s="5" t="s">
        <v>24</v>
      </c>
      <c r="C17" s="5"/>
      <c r="D17" s="5"/>
      <c r="E17" s="5"/>
      <c r="F17" s="5"/>
    </row>
    <row r="18" customFormat="false" ht="15" hidden="false" customHeight="false" outlineLevel="0" collapsed="false">
      <c r="B18" s="5" t="s">
        <v>25</v>
      </c>
      <c r="C18" s="5"/>
      <c r="D18" s="5"/>
      <c r="E18" s="5"/>
      <c r="F18" s="5"/>
    </row>
    <row r="19" customFormat="false" ht="15" hidden="false" customHeight="false" outlineLevel="0" collapsed="false">
      <c r="B19" s="5" t="s">
        <v>26</v>
      </c>
      <c r="C19" s="5"/>
      <c r="D19" s="5"/>
      <c r="E19" s="5"/>
      <c r="F19" s="5"/>
    </row>
    <row r="21" customFormat="false" ht="15" hidden="false" customHeight="false" outlineLevel="0" collapsed="false">
      <c r="B21" s="4" t="s">
        <v>27</v>
      </c>
    </row>
    <row r="22" customFormat="false" ht="15" hidden="false" customHeight="false" outlineLevel="0" collapsed="false">
      <c r="B22" s="6" t="s">
        <v>28</v>
      </c>
      <c r="C22" s="7" t="s">
        <v>29</v>
      </c>
    </row>
    <row r="23" customFormat="false" ht="15" hidden="false" customHeight="false" outlineLevel="0" collapsed="false">
      <c r="B23" s="8" t="s">
        <v>30</v>
      </c>
      <c r="C23" s="7" t="s">
        <v>31</v>
      </c>
    </row>
    <row r="24" customFormat="false" ht="15" hidden="false" customHeight="false" outlineLevel="0" collapsed="false">
      <c r="B24" s="9"/>
      <c r="C24" s="7" t="s">
        <v>32</v>
      </c>
    </row>
    <row r="26" customFormat="false" ht="15" hidden="false" customHeight="false" outlineLevel="0" collapsed="false">
      <c r="B26" s="4" t="s">
        <v>33</v>
      </c>
    </row>
    <row r="27" customFormat="false" ht="15" hidden="false" customHeight="false" outlineLevel="0" collapsed="false">
      <c r="B27" s="2" t="s">
        <v>34</v>
      </c>
      <c r="C27" s="7" t="s">
        <v>35</v>
      </c>
    </row>
    <row r="28" customFormat="false" ht="15" hidden="false" customHeight="false" outlineLevel="0" collapsed="false">
      <c r="B28" s="2" t="s">
        <v>36</v>
      </c>
      <c r="C28" s="7" t="s">
        <v>37</v>
      </c>
    </row>
    <row r="29" customFormat="false" ht="15" hidden="false" customHeight="false" outlineLevel="0" collapsed="false">
      <c r="B29" s="2" t="s">
        <v>38</v>
      </c>
      <c r="C29" s="7" t="s">
        <v>39</v>
      </c>
    </row>
    <row r="30" customFormat="false" ht="15" hidden="false" customHeight="false" outlineLevel="0" collapsed="false">
      <c r="B30" s="2" t="s">
        <v>40</v>
      </c>
      <c r="C30" s="7" t="s">
        <v>41</v>
      </c>
    </row>
    <row r="31" customFormat="false" ht="15" hidden="false" customHeight="false" outlineLevel="0" collapsed="false">
      <c r="B31" s="2" t="s">
        <v>42</v>
      </c>
      <c r="C31" s="7" t="s">
        <v>43</v>
      </c>
    </row>
    <row r="32" customFormat="false" ht="15" hidden="false" customHeight="false" outlineLevel="0" collapsed="false">
      <c r="B32" s="2" t="s">
        <v>44</v>
      </c>
      <c r="C32" s="7" t="s">
        <v>45</v>
      </c>
    </row>
  </sheetData>
  <mergeCells count="6">
    <mergeCell ref="B1:E1"/>
    <mergeCell ref="B15:F15"/>
    <mergeCell ref="B16:F16"/>
    <mergeCell ref="B17:F17"/>
    <mergeCell ref="B18:F18"/>
    <mergeCell ref="B19:F1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14" min="6" style="0" width="8.4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24" hidden="false" customHeight="true" outlineLevel="0" collapsed="false">
      <c r="B1" s="1" t="s">
        <v>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B2" s="10" t="s">
        <v>47</v>
      </c>
    </row>
    <row r="4" customFormat="false" ht="45.75" hidden="false" customHeight="true" outlineLevel="0" collapsed="false">
      <c r="B4" s="11" t="s">
        <v>48</v>
      </c>
      <c r="C4" s="11" t="s">
        <v>49</v>
      </c>
      <c r="D4" s="11" t="s">
        <v>50</v>
      </c>
      <c r="E4" s="11" t="s">
        <v>51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56</v>
      </c>
      <c r="K4" s="12" t="s">
        <v>57</v>
      </c>
      <c r="L4" s="12" t="s">
        <v>58</v>
      </c>
      <c r="M4" s="12" t="s">
        <v>59</v>
      </c>
      <c r="N4" s="12" t="s">
        <v>60</v>
      </c>
      <c r="O4" s="11" t="s">
        <v>61</v>
      </c>
      <c r="P4" s="11" t="s">
        <v>62</v>
      </c>
    </row>
    <row r="5" customFormat="false" ht="22.35" hidden="false" customHeight="false" outlineLevel="0" collapsed="false">
      <c r="B5" s="13" t="s">
        <v>63</v>
      </c>
      <c r="C5" s="14" t="s">
        <v>64</v>
      </c>
      <c r="D5" s="14" t="s">
        <v>65</v>
      </c>
      <c r="E5" s="15" t="s">
        <v>66</v>
      </c>
      <c r="F5" s="16" t="s">
        <v>28</v>
      </c>
      <c r="G5" s="17"/>
      <c r="H5" s="17"/>
      <c r="I5" s="17"/>
      <c r="J5" s="17"/>
      <c r="K5" s="17"/>
      <c r="L5" s="17"/>
      <c r="M5" s="17"/>
      <c r="N5" s="17"/>
      <c r="O5" s="18" t="n">
        <f aca="false">COUNTIF(F5:N5,"X")+COUNTIF(F5:N5,"o")</f>
        <v>1</v>
      </c>
      <c r="P5" s="19" t="str">
        <f aca="false">IF(COUNTIF(F5:N5,"X")=0,"SIN COBERTURA","Cubierto")</f>
        <v>Cubierto</v>
      </c>
    </row>
    <row r="6" customFormat="false" ht="15" hidden="false" customHeight="false" outlineLevel="0" collapsed="false">
      <c r="B6" s="20" t="s">
        <v>67</v>
      </c>
      <c r="C6" s="21" t="s">
        <v>68</v>
      </c>
      <c r="D6" s="21" t="s">
        <v>69</v>
      </c>
      <c r="E6" s="22" t="s">
        <v>66</v>
      </c>
      <c r="F6" s="17"/>
      <c r="G6" s="16" t="s">
        <v>28</v>
      </c>
      <c r="H6" s="17"/>
      <c r="I6" s="17"/>
      <c r="J6" s="17"/>
      <c r="K6" s="17"/>
      <c r="L6" s="17"/>
      <c r="M6" s="17"/>
      <c r="N6" s="17"/>
      <c r="O6" s="18" t="n">
        <f aca="false">COUNTIF(F6:N6,"X")+COUNTIF(F6:N6,"o")</f>
        <v>1</v>
      </c>
      <c r="P6" s="19" t="str">
        <f aca="false">IF(COUNTIF(F6:N6,"X")=0,"SIN COBERTURA","Cubierto")</f>
        <v>Cubierto</v>
      </c>
    </row>
    <row r="7" customFormat="false" ht="22.35" hidden="false" customHeight="false" outlineLevel="0" collapsed="false">
      <c r="B7" s="13" t="s">
        <v>70</v>
      </c>
      <c r="C7" s="14" t="s">
        <v>71</v>
      </c>
      <c r="D7" s="14" t="s">
        <v>72</v>
      </c>
      <c r="E7" s="15" t="s">
        <v>66</v>
      </c>
      <c r="F7" s="16" t="s">
        <v>28</v>
      </c>
      <c r="G7" s="17"/>
      <c r="H7" s="23" t="s">
        <v>30</v>
      </c>
      <c r="I7" s="23" t="s">
        <v>30</v>
      </c>
      <c r="J7" s="23" t="s">
        <v>30</v>
      </c>
      <c r="K7" s="23" t="s">
        <v>30</v>
      </c>
      <c r="L7" s="23" t="s">
        <v>30</v>
      </c>
      <c r="M7" s="23" t="s">
        <v>30</v>
      </c>
      <c r="N7" s="23" t="s">
        <v>30</v>
      </c>
      <c r="O7" s="18" t="n">
        <f aca="false">COUNTIF(F7:N7,"X")+COUNTIF(F7:N7,"o")</f>
        <v>8</v>
      </c>
      <c r="P7" s="19" t="str">
        <f aca="false">IF(COUNTIF(F7:N7,"X")=0,"SIN COBERTURA","Cubierto")</f>
        <v>Cubierto</v>
      </c>
    </row>
    <row r="8" customFormat="false" ht="22.35" hidden="false" customHeight="false" outlineLevel="0" collapsed="false">
      <c r="B8" s="20" t="s">
        <v>73</v>
      </c>
      <c r="C8" s="21" t="s">
        <v>74</v>
      </c>
      <c r="D8" s="21" t="s">
        <v>75</v>
      </c>
      <c r="E8" s="22" t="s">
        <v>66</v>
      </c>
      <c r="F8" s="16" t="s">
        <v>28</v>
      </c>
      <c r="G8" s="17"/>
      <c r="H8" s="17"/>
      <c r="I8" s="17"/>
      <c r="J8" s="17"/>
      <c r="K8" s="17"/>
      <c r="L8" s="17"/>
      <c r="M8" s="17"/>
      <c r="N8" s="17"/>
      <c r="O8" s="18" t="n">
        <f aca="false">COUNTIF(F8:N8,"X")+COUNTIF(F8:N8,"o")</f>
        <v>1</v>
      </c>
      <c r="P8" s="19" t="str">
        <f aca="false">IF(COUNTIF(F8:N8,"X")=0,"SIN COBERTURA","Cubierto")</f>
        <v>Cubierto</v>
      </c>
    </row>
    <row r="9" customFormat="false" ht="22.35" hidden="false" customHeight="false" outlineLevel="0" collapsed="false">
      <c r="B9" s="13" t="s">
        <v>76</v>
      </c>
      <c r="C9" s="14" t="s">
        <v>77</v>
      </c>
      <c r="D9" s="14" t="s">
        <v>78</v>
      </c>
      <c r="E9" s="15" t="s">
        <v>79</v>
      </c>
      <c r="F9" s="17"/>
      <c r="G9" s="17"/>
      <c r="H9" s="16" t="s">
        <v>28</v>
      </c>
      <c r="I9" s="17"/>
      <c r="J9" s="17"/>
      <c r="K9" s="17"/>
      <c r="L9" s="17"/>
      <c r="M9" s="17"/>
      <c r="N9" s="17"/>
      <c r="O9" s="18" t="n">
        <f aca="false">COUNTIF(F9:N9,"X")+COUNTIF(F9:N9,"o")</f>
        <v>1</v>
      </c>
      <c r="P9" s="19" t="str">
        <f aca="false">IF(COUNTIF(F9:N9,"X")=0,"SIN COBERTURA","Cubierto")</f>
        <v>Cubierto</v>
      </c>
    </row>
    <row r="10" customFormat="false" ht="15" hidden="false" customHeight="false" outlineLevel="0" collapsed="false">
      <c r="B10" s="20" t="s">
        <v>80</v>
      </c>
      <c r="C10" s="21" t="s">
        <v>81</v>
      </c>
      <c r="D10" s="21" t="s">
        <v>82</v>
      </c>
      <c r="E10" s="22" t="s">
        <v>79</v>
      </c>
      <c r="F10" s="17"/>
      <c r="G10" s="17"/>
      <c r="H10" s="16" t="s">
        <v>28</v>
      </c>
      <c r="I10" s="17"/>
      <c r="J10" s="17"/>
      <c r="K10" s="17"/>
      <c r="L10" s="17"/>
      <c r="M10" s="17"/>
      <c r="N10" s="17"/>
      <c r="O10" s="18" t="n">
        <f aca="false">COUNTIF(F10:N10,"X")+COUNTIF(F10:N10,"o")</f>
        <v>1</v>
      </c>
      <c r="P10" s="19" t="str">
        <f aca="false">IF(COUNTIF(F10:N10,"X")=0,"SIN COBERTURA","Cubierto")</f>
        <v>Cubierto</v>
      </c>
    </row>
    <row r="11" customFormat="false" ht="15" hidden="false" customHeight="false" outlineLevel="0" collapsed="false">
      <c r="B11" s="13" t="s">
        <v>83</v>
      </c>
      <c r="C11" s="14" t="s">
        <v>84</v>
      </c>
      <c r="D11" s="14" t="s">
        <v>85</v>
      </c>
      <c r="E11" s="15" t="s">
        <v>79</v>
      </c>
      <c r="F11" s="17"/>
      <c r="G11" s="17"/>
      <c r="H11" s="16" t="s">
        <v>28</v>
      </c>
      <c r="I11" s="17"/>
      <c r="J11" s="17"/>
      <c r="K11" s="17"/>
      <c r="L11" s="17"/>
      <c r="M11" s="17"/>
      <c r="N11" s="17"/>
      <c r="O11" s="18" t="n">
        <f aca="false">COUNTIF(F11:N11,"X")+COUNTIF(F11:N11,"o")</f>
        <v>1</v>
      </c>
      <c r="P11" s="19" t="str">
        <f aca="false">IF(COUNTIF(F11:N11,"X")=0,"SIN COBERTURA","Cubierto")</f>
        <v>Cubierto</v>
      </c>
    </row>
    <row r="12" customFormat="false" ht="15" hidden="false" customHeight="false" outlineLevel="0" collapsed="false">
      <c r="B12" s="20" t="s">
        <v>86</v>
      </c>
      <c r="C12" s="21" t="s">
        <v>87</v>
      </c>
      <c r="D12" s="21" t="s">
        <v>88</v>
      </c>
      <c r="E12" s="22" t="s">
        <v>79</v>
      </c>
      <c r="F12" s="17"/>
      <c r="G12" s="17"/>
      <c r="H12" s="16" t="s">
        <v>28</v>
      </c>
      <c r="I12" s="23" t="s">
        <v>30</v>
      </c>
      <c r="J12" s="17"/>
      <c r="K12" s="17"/>
      <c r="L12" s="17"/>
      <c r="M12" s="17"/>
      <c r="N12" s="17"/>
      <c r="O12" s="18" t="n">
        <f aca="false">COUNTIF(F12:N12,"X")+COUNTIF(F12:N12,"o")</f>
        <v>2</v>
      </c>
      <c r="P12" s="19" t="str">
        <f aca="false">IF(COUNTIF(F12:N12,"X")=0,"SIN COBERTURA","Cubierto")</f>
        <v>Cubierto</v>
      </c>
    </row>
    <row r="13" customFormat="false" ht="15" hidden="false" customHeight="false" outlineLevel="0" collapsed="false">
      <c r="B13" s="13" t="s">
        <v>89</v>
      </c>
      <c r="C13" s="14" t="s">
        <v>90</v>
      </c>
      <c r="D13" s="14" t="s">
        <v>91</v>
      </c>
      <c r="E13" s="15" t="s">
        <v>79</v>
      </c>
      <c r="F13" s="17"/>
      <c r="G13" s="17"/>
      <c r="H13" s="16" t="s">
        <v>28</v>
      </c>
      <c r="I13" s="17"/>
      <c r="J13" s="17"/>
      <c r="K13" s="17"/>
      <c r="L13" s="23" t="s">
        <v>30</v>
      </c>
      <c r="M13" s="17"/>
      <c r="N13" s="17"/>
      <c r="O13" s="18" t="n">
        <f aca="false">COUNTIF(F13:N13,"X")+COUNTIF(F13:N13,"o")</f>
        <v>2</v>
      </c>
      <c r="P13" s="19" t="str">
        <f aca="false">IF(COUNTIF(F13:N13,"X")=0,"SIN COBERTURA","Cubierto")</f>
        <v>Cubierto</v>
      </c>
    </row>
    <row r="14" customFormat="false" ht="15" hidden="false" customHeight="false" outlineLevel="0" collapsed="false">
      <c r="B14" s="20" t="s">
        <v>92</v>
      </c>
      <c r="C14" s="21" t="s">
        <v>93</v>
      </c>
      <c r="D14" s="21" t="s">
        <v>94</v>
      </c>
      <c r="E14" s="22" t="s">
        <v>95</v>
      </c>
      <c r="F14" s="17"/>
      <c r="G14" s="17"/>
      <c r="H14" s="17"/>
      <c r="I14" s="16" t="s">
        <v>28</v>
      </c>
      <c r="J14" s="17"/>
      <c r="K14" s="17"/>
      <c r="L14" s="17"/>
      <c r="M14" s="17"/>
      <c r="N14" s="17"/>
      <c r="O14" s="18" t="n">
        <f aca="false">COUNTIF(F14:N14,"X")+COUNTIF(F14:N14,"o")</f>
        <v>1</v>
      </c>
      <c r="P14" s="19" t="str">
        <f aca="false">IF(COUNTIF(F14:N14,"X")=0,"SIN COBERTURA","Cubierto")</f>
        <v>Cubierto</v>
      </c>
    </row>
    <row r="15" customFormat="false" ht="15" hidden="false" customHeight="false" outlineLevel="0" collapsed="false">
      <c r="B15" s="13" t="s">
        <v>96</v>
      </c>
      <c r="C15" s="14" t="s">
        <v>97</v>
      </c>
      <c r="D15" s="14" t="s">
        <v>98</v>
      </c>
      <c r="E15" s="15" t="s">
        <v>95</v>
      </c>
      <c r="F15" s="17"/>
      <c r="G15" s="17"/>
      <c r="H15" s="17"/>
      <c r="I15" s="16" t="s">
        <v>28</v>
      </c>
      <c r="J15" s="23" t="s">
        <v>30</v>
      </c>
      <c r="K15" s="17"/>
      <c r="L15" s="17"/>
      <c r="M15" s="17"/>
      <c r="N15" s="17"/>
      <c r="O15" s="18" t="n">
        <f aca="false">COUNTIF(F15:N15,"X")+COUNTIF(F15:N15,"o")</f>
        <v>2</v>
      </c>
      <c r="P15" s="19" t="str">
        <f aca="false">IF(COUNTIF(F15:N15,"X")=0,"SIN COBERTURA","Cubierto")</f>
        <v>Cubierto</v>
      </c>
    </row>
    <row r="16" customFormat="false" ht="22.35" hidden="false" customHeight="false" outlineLevel="0" collapsed="false">
      <c r="B16" s="20" t="s">
        <v>99</v>
      </c>
      <c r="C16" s="21" t="s">
        <v>100</v>
      </c>
      <c r="D16" s="21" t="s">
        <v>101</v>
      </c>
      <c r="E16" s="22" t="s">
        <v>95</v>
      </c>
      <c r="F16" s="17"/>
      <c r="G16" s="17"/>
      <c r="H16" s="23" t="s">
        <v>30</v>
      </c>
      <c r="I16" s="16" t="s">
        <v>28</v>
      </c>
      <c r="J16" s="17"/>
      <c r="K16" s="17"/>
      <c r="L16" s="17"/>
      <c r="M16" s="17"/>
      <c r="N16" s="17"/>
      <c r="O16" s="18" t="n">
        <f aca="false">COUNTIF(F16:N16,"X")+COUNTIF(F16:N16,"o")</f>
        <v>2</v>
      </c>
      <c r="P16" s="19" t="str">
        <f aca="false">IF(COUNTIF(F16:N16,"X")=0,"SIN COBERTURA","Cubierto")</f>
        <v>Cubierto</v>
      </c>
    </row>
    <row r="17" customFormat="false" ht="22.35" hidden="false" customHeight="false" outlineLevel="0" collapsed="false">
      <c r="B17" s="13" t="s">
        <v>102</v>
      </c>
      <c r="C17" s="14" t="s">
        <v>103</v>
      </c>
      <c r="D17" s="14" t="s">
        <v>104</v>
      </c>
      <c r="E17" s="15" t="s">
        <v>95</v>
      </c>
      <c r="F17" s="17"/>
      <c r="G17" s="17"/>
      <c r="H17" s="17"/>
      <c r="I17" s="16" t="s">
        <v>28</v>
      </c>
      <c r="J17" s="23" t="s">
        <v>30</v>
      </c>
      <c r="K17" s="17"/>
      <c r="L17" s="17"/>
      <c r="M17" s="17"/>
      <c r="N17" s="17"/>
      <c r="O17" s="18" t="n">
        <f aca="false">COUNTIF(F17:N17,"X")+COUNTIF(F17:N17,"o")</f>
        <v>2</v>
      </c>
      <c r="P17" s="19" t="str">
        <f aca="false">IF(COUNTIF(F17:N17,"X")=0,"SIN COBERTURA","Cubierto")</f>
        <v>Cubierto</v>
      </c>
    </row>
    <row r="18" customFormat="false" ht="15" hidden="false" customHeight="false" outlineLevel="0" collapsed="false">
      <c r="B18" s="20" t="s">
        <v>105</v>
      </c>
      <c r="C18" s="21" t="s">
        <v>106</v>
      </c>
      <c r="D18" s="21" t="s">
        <v>107</v>
      </c>
      <c r="E18" s="22" t="s">
        <v>95</v>
      </c>
      <c r="F18" s="17"/>
      <c r="G18" s="17"/>
      <c r="H18" s="17"/>
      <c r="I18" s="17"/>
      <c r="J18" s="16" t="s">
        <v>28</v>
      </c>
      <c r="K18" s="17"/>
      <c r="L18" s="17"/>
      <c r="M18" s="17"/>
      <c r="N18" s="17"/>
      <c r="O18" s="18" t="n">
        <f aca="false">COUNTIF(F18:N18,"X")+COUNTIF(F18:N18,"o")</f>
        <v>1</v>
      </c>
      <c r="P18" s="19" t="str">
        <f aca="false">IF(COUNTIF(F18:N18,"X")=0,"SIN COBERTURA","Cubierto")</f>
        <v>Cubierto</v>
      </c>
    </row>
    <row r="19" customFormat="false" ht="22.35" hidden="false" customHeight="false" outlineLevel="0" collapsed="false">
      <c r="B19" s="13" t="s">
        <v>108</v>
      </c>
      <c r="C19" s="14" t="s">
        <v>109</v>
      </c>
      <c r="D19" s="14" t="s">
        <v>110</v>
      </c>
      <c r="E19" s="15" t="s">
        <v>95</v>
      </c>
      <c r="F19" s="17"/>
      <c r="G19" s="17"/>
      <c r="H19" s="17"/>
      <c r="I19" s="23" t="s">
        <v>30</v>
      </c>
      <c r="J19" s="17"/>
      <c r="K19" s="16" t="s">
        <v>28</v>
      </c>
      <c r="L19" s="17"/>
      <c r="M19" s="17"/>
      <c r="N19" s="17"/>
      <c r="O19" s="18" t="n">
        <f aca="false">COUNTIF(F19:N19,"X")+COUNTIF(F19:N19,"o")</f>
        <v>2</v>
      </c>
      <c r="P19" s="19" t="str">
        <f aca="false">IF(COUNTIF(F19:N19,"X")=0,"SIN COBERTURA","Cubierto")</f>
        <v>Cubierto</v>
      </c>
    </row>
    <row r="20" customFormat="false" ht="22.35" hidden="false" customHeight="false" outlineLevel="0" collapsed="false">
      <c r="B20" s="20" t="s">
        <v>111</v>
      </c>
      <c r="C20" s="21" t="s">
        <v>112</v>
      </c>
      <c r="D20" s="21" t="s">
        <v>113</v>
      </c>
      <c r="E20" s="22" t="s">
        <v>114</v>
      </c>
      <c r="F20" s="17"/>
      <c r="G20" s="17"/>
      <c r="H20" s="17"/>
      <c r="I20" s="16" t="s">
        <v>28</v>
      </c>
      <c r="J20" s="17"/>
      <c r="K20" s="17"/>
      <c r="L20" s="23" t="s">
        <v>30</v>
      </c>
      <c r="M20" s="17"/>
      <c r="N20" s="17"/>
      <c r="O20" s="18" t="n">
        <f aca="false">COUNTIF(F20:N20,"X")+COUNTIF(F20:N20,"o")</f>
        <v>2</v>
      </c>
      <c r="P20" s="19" t="str">
        <f aca="false">IF(COUNTIF(F20:N20,"X")=0,"SIN COBERTURA","Cubierto")</f>
        <v>Cubierto</v>
      </c>
    </row>
    <row r="21" customFormat="false" ht="15" hidden="false" customHeight="false" outlineLevel="0" collapsed="false">
      <c r="B21" s="13" t="s">
        <v>115</v>
      </c>
      <c r="C21" s="14" t="s">
        <v>116</v>
      </c>
      <c r="D21" s="14" t="s">
        <v>117</v>
      </c>
      <c r="E21" s="15" t="s">
        <v>114</v>
      </c>
      <c r="F21" s="17"/>
      <c r="G21" s="17"/>
      <c r="H21" s="16" t="s">
        <v>28</v>
      </c>
      <c r="I21" s="17"/>
      <c r="J21" s="17"/>
      <c r="K21" s="17"/>
      <c r="L21" s="23" t="s">
        <v>30</v>
      </c>
      <c r="M21" s="17"/>
      <c r="N21" s="17"/>
      <c r="O21" s="18" t="n">
        <f aca="false">COUNTIF(F21:N21,"X")+COUNTIF(F21:N21,"o")</f>
        <v>2</v>
      </c>
      <c r="P21" s="19" t="str">
        <f aca="false">IF(COUNTIF(F21:N21,"X")=0,"SIN COBERTURA","Cubierto")</f>
        <v>Cubierto</v>
      </c>
    </row>
    <row r="22" customFormat="false" ht="22.35" hidden="false" customHeight="false" outlineLevel="0" collapsed="false">
      <c r="B22" s="20" t="s">
        <v>118</v>
      </c>
      <c r="C22" s="21" t="s">
        <v>119</v>
      </c>
      <c r="D22" s="21" t="s">
        <v>120</v>
      </c>
      <c r="E22" s="22" t="s">
        <v>114</v>
      </c>
      <c r="F22" s="17"/>
      <c r="G22" s="17"/>
      <c r="H22" s="16" t="s">
        <v>28</v>
      </c>
      <c r="I22" s="23" t="s">
        <v>30</v>
      </c>
      <c r="J22" s="17"/>
      <c r="K22" s="17"/>
      <c r="L22" s="17"/>
      <c r="M22" s="17"/>
      <c r="N22" s="17"/>
      <c r="O22" s="18" t="n">
        <f aca="false">COUNTIF(F22:N22,"X")+COUNTIF(F22:N22,"o")</f>
        <v>2</v>
      </c>
      <c r="P22" s="19" t="str">
        <f aca="false">IF(COUNTIF(F22:N22,"X")=0,"SIN COBERTURA","Cubierto")</f>
        <v>Cubierto</v>
      </c>
    </row>
    <row r="23" customFormat="false" ht="22.35" hidden="false" customHeight="false" outlineLevel="0" collapsed="false">
      <c r="B23" s="13" t="s">
        <v>121</v>
      </c>
      <c r="C23" s="14" t="s">
        <v>122</v>
      </c>
      <c r="D23" s="14" t="s">
        <v>123</v>
      </c>
      <c r="E23" s="15" t="s">
        <v>114</v>
      </c>
      <c r="F23" s="17"/>
      <c r="G23" s="17"/>
      <c r="H23" s="16" t="s">
        <v>28</v>
      </c>
      <c r="I23" s="17"/>
      <c r="J23" s="17"/>
      <c r="K23" s="17"/>
      <c r="L23" s="17"/>
      <c r="M23" s="17"/>
      <c r="N23" s="17"/>
      <c r="O23" s="18" t="n">
        <f aca="false">COUNTIF(F23:N23,"X")+COUNTIF(F23:N23,"o")</f>
        <v>1</v>
      </c>
      <c r="P23" s="19" t="str">
        <f aca="false">IF(COUNTIF(F23:N23,"X")=0,"SIN COBERTURA","Cubierto")</f>
        <v>Cubierto</v>
      </c>
    </row>
    <row r="24" customFormat="false" ht="22.35" hidden="false" customHeight="false" outlineLevel="0" collapsed="false">
      <c r="B24" s="20" t="s">
        <v>124</v>
      </c>
      <c r="C24" s="21" t="s">
        <v>125</v>
      </c>
      <c r="D24" s="21" t="s">
        <v>126</v>
      </c>
      <c r="E24" s="22" t="s">
        <v>114</v>
      </c>
      <c r="F24" s="17"/>
      <c r="G24" s="17"/>
      <c r="H24" s="23" t="s">
        <v>30</v>
      </c>
      <c r="I24" s="17"/>
      <c r="J24" s="17"/>
      <c r="K24" s="17"/>
      <c r="L24" s="16" t="s">
        <v>28</v>
      </c>
      <c r="M24" s="17"/>
      <c r="N24" s="17"/>
      <c r="O24" s="18" t="n">
        <f aca="false">COUNTIF(F24:N24,"X")+COUNTIF(F24:N24,"o")</f>
        <v>2</v>
      </c>
      <c r="P24" s="19" t="str">
        <f aca="false">IF(COUNTIF(F24:N24,"X")=0,"SIN COBERTURA","Cubierto")</f>
        <v>Cubierto</v>
      </c>
    </row>
    <row r="25" customFormat="false" ht="22.35" hidden="false" customHeight="false" outlineLevel="0" collapsed="false">
      <c r="B25" s="13" t="s">
        <v>127</v>
      </c>
      <c r="C25" s="14" t="s">
        <v>128</v>
      </c>
      <c r="D25" s="14" t="s">
        <v>129</v>
      </c>
      <c r="E25" s="15" t="s">
        <v>130</v>
      </c>
      <c r="F25" s="17"/>
      <c r="G25" s="17"/>
      <c r="H25" s="17"/>
      <c r="I25" s="17"/>
      <c r="J25" s="17"/>
      <c r="K25" s="17"/>
      <c r="L25" s="17"/>
      <c r="M25" s="17"/>
      <c r="N25" s="16" t="s">
        <v>28</v>
      </c>
      <c r="O25" s="18" t="n">
        <f aca="false">COUNTIF(F25:N25,"X")+COUNTIF(F25:N25,"o")</f>
        <v>1</v>
      </c>
      <c r="P25" s="19" t="str">
        <f aca="false">IF(COUNTIF(F25:N25,"X")=0,"SIN COBERTURA","Cubierto")</f>
        <v>Cubierto</v>
      </c>
    </row>
    <row r="26" customFormat="false" ht="22.35" hidden="false" customHeight="false" outlineLevel="0" collapsed="false">
      <c r="B26" s="20" t="s">
        <v>131</v>
      </c>
      <c r="C26" s="21" t="s">
        <v>132</v>
      </c>
      <c r="D26" s="21" t="s">
        <v>133</v>
      </c>
      <c r="E26" s="22" t="s">
        <v>130</v>
      </c>
      <c r="F26" s="17"/>
      <c r="G26" s="17"/>
      <c r="H26" s="17"/>
      <c r="I26" s="17"/>
      <c r="J26" s="17"/>
      <c r="K26" s="17"/>
      <c r="L26" s="17"/>
      <c r="M26" s="17"/>
      <c r="N26" s="16" t="s">
        <v>28</v>
      </c>
      <c r="O26" s="18" t="n">
        <f aca="false">COUNTIF(F26:N26,"X")+COUNTIF(F26:N26,"o")</f>
        <v>1</v>
      </c>
      <c r="P26" s="19" t="str">
        <f aca="false">IF(COUNTIF(F26:N26,"X")=0,"SIN COBERTURA","Cubierto")</f>
        <v>Cubierto</v>
      </c>
    </row>
    <row r="27" customFormat="false" ht="22.35" hidden="false" customHeight="false" outlineLevel="0" collapsed="false">
      <c r="B27" s="13" t="s">
        <v>134</v>
      </c>
      <c r="C27" s="14" t="s">
        <v>135</v>
      </c>
      <c r="D27" s="14" t="s">
        <v>136</v>
      </c>
      <c r="E27" s="15" t="s">
        <v>130</v>
      </c>
      <c r="F27" s="17"/>
      <c r="G27" s="17"/>
      <c r="H27" s="17"/>
      <c r="I27" s="17"/>
      <c r="J27" s="17"/>
      <c r="K27" s="17"/>
      <c r="L27" s="17"/>
      <c r="M27" s="17"/>
      <c r="N27" s="16" t="s">
        <v>28</v>
      </c>
      <c r="O27" s="18" t="n">
        <f aca="false">COUNTIF(F27:N27,"X")+COUNTIF(F27:N27,"o")</f>
        <v>1</v>
      </c>
      <c r="P27" s="19" t="str">
        <f aca="false">IF(COUNTIF(F27:N27,"X")=0,"SIN COBERTURA","Cubierto")</f>
        <v>Cubierto</v>
      </c>
    </row>
    <row r="28" customFormat="false" ht="15" hidden="false" customHeight="false" outlineLevel="0" collapsed="false">
      <c r="B28" s="20" t="s">
        <v>137</v>
      </c>
      <c r="C28" s="21" t="s">
        <v>138</v>
      </c>
      <c r="D28" s="21" t="s">
        <v>139</v>
      </c>
      <c r="E28" s="22" t="s">
        <v>130</v>
      </c>
      <c r="F28" s="17"/>
      <c r="G28" s="17"/>
      <c r="H28" s="17"/>
      <c r="I28" s="17"/>
      <c r="J28" s="17"/>
      <c r="K28" s="23" t="s">
        <v>30</v>
      </c>
      <c r="L28" s="23" t="s">
        <v>30</v>
      </c>
      <c r="M28" s="17"/>
      <c r="N28" s="16" t="s">
        <v>28</v>
      </c>
      <c r="O28" s="18" t="n">
        <f aca="false">COUNTIF(F28:N28,"X")+COUNTIF(F28:N28,"o")</f>
        <v>3</v>
      </c>
      <c r="P28" s="19" t="str">
        <f aca="false">IF(COUNTIF(F28:N28,"X")=0,"SIN COBERTURA","Cubierto")</f>
        <v>Cubierto</v>
      </c>
    </row>
    <row r="29" customFormat="false" ht="15" hidden="false" customHeight="false" outlineLevel="0" collapsed="false">
      <c r="B29" s="13" t="s">
        <v>140</v>
      </c>
      <c r="C29" s="14" t="s">
        <v>141</v>
      </c>
      <c r="D29" s="14" t="s">
        <v>142</v>
      </c>
      <c r="E29" s="15" t="s">
        <v>130</v>
      </c>
      <c r="F29" s="17"/>
      <c r="G29" s="17"/>
      <c r="H29" s="17"/>
      <c r="I29" s="17"/>
      <c r="J29" s="17"/>
      <c r="K29" s="16" t="s">
        <v>28</v>
      </c>
      <c r="L29" s="17"/>
      <c r="M29" s="17"/>
      <c r="N29" s="23" t="s">
        <v>30</v>
      </c>
      <c r="O29" s="18" t="n">
        <f aca="false">COUNTIF(F29:N29,"X")+COUNTIF(F29:N29,"o")</f>
        <v>2</v>
      </c>
      <c r="P29" s="19" t="str">
        <f aca="false">IF(COUNTIF(F29:N29,"X")=0,"SIN COBERTURA","Cubierto")</f>
        <v>Cubierto</v>
      </c>
    </row>
    <row r="30" customFormat="false" ht="22.35" hidden="false" customHeight="false" outlineLevel="0" collapsed="false">
      <c r="B30" s="20" t="s">
        <v>143</v>
      </c>
      <c r="C30" s="21" t="s">
        <v>144</v>
      </c>
      <c r="D30" s="21" t="s">
        <v>145</v>
      </c>
      <c r="E30" s="22" t="s">
        <v>146</v>
      </c>
      <c r="F30" s="17"/>
      <c r="G30" s="17"/>
      <c r="H30" s="17"/>
      <c r="I30" s="17"/>
      <c r="J30" s="17"/>
      <c r="K30" s="17"/>
      <c r="L30" s="17"/>
      <c r="M30" s="16" t="s">
        <v>28</v>
      </c>
      <c r="N30" s="17"/>
      <c r="O30" s="18" t="n">
        <f aca="false">COUNTIF(F30:N30,"X")+COUNTIF(F30:N30,"o")</f>
        <v>1</v>
      </c>
      <c r="P30" s="19" t="str">
        <f aca="false">IF(COUNTIF(F30:N30,"X")=0,"SIN COBERTURA","Cubierto")</f>
        <v>Cubierto</v>
      </c>
    </row>
    <row r="31" customFormat="false" ht="15" hidden="false" customHeight="false" outlineLevel="0" collapsed="false">
      <c r="B31" s="13" t="s">
        <v>147</v>
      </c>
      <c r="C31" s="14" t="s">
        <v>148</v>
      </c>
      <c r="D31" s="14" t="s">
        <v>149</v>
      </c>
      <c r="E31" s="15" t="s">
        <v>146</v>
      </c>
      <c r="F31" s="17"/>
      <c r="G31" s="17"/>
      <c r="H31" s="17"/>
      <c r="I31" s="17"/>
      <c r="J31" s="17"/>
      <c r="K31" s="17"/>
      <c r="L31" s="17"/>
      <c r="M31" s="16" t="s">
        <v>28</v>
      </c>
      <c r="N31" s="17"/>
      <c r="O31" s="18" t="n">
        <f aca="false">COUNTIF(F31:N31,"X")+COUNTIF(F31:N31,"o")</f>
        <v>1</v>
      </c>
      <c r="P31" s="19" t="str">
        <f aca="false">IF(COUNTIF(F31:N31,"X")=0,"SIN COBERTURA","Cubierto")</f>
        <v>Cubierto</v>
      </c>
    </row>
    <row r="32" customFormat="false" ht="15" hidden="false" customHeight="false" outlineLevel="0" collapsed="false">
      <c r="B32" s="20" t="s">
        <v>150</v>
      </c>
      <c r="C32" s="21" t="s">
        <v>151</v>
      </c>
      <c r="D32" s="21" t="s">
        <v>152</v>
      </c>
      <c r="E32" s="22" t="s">
        <v>146</v>
      </c>
      <c r="F32" s="17"/>
      <c r="G32" s="17"/>
      <c r="H32" s="17"/>
      <c r="I32" s="17"/>
      <c r="J32" s="17"/>
      <c r="K32" s="17"/>
      <c r="L32" s="17"/>
      <c r="M32" s="16" t="s">
        <v>28</v>
      </c>
      <c r="N32" s="17"/>
      <c r="O32" s="18" t="n">
        <f aca="false">COUNTIF(F32:N32,"X")+COUNTIF(F32:N32,"o")</f>
        <v>1</v>
      </c>
      <c r="P32" s="19" t="str">
        <f aca="false">IF(COUNTIF(F32:N32,"X")=0,"SIN COBERTURA","Cubierto")</f>
        <v>Cubierto</v>
      </c>
    </row>
    <row r="33" customFormat="false" ht="22.35" hidden="false" customHeight="false" outlineLevel="0" collapsed="false">
      <c r="B33" s="13" t="s">
        <v>153</v>
      </c>
      <c r="C33" s="14" t="s">
        <v>154</v>
      </c>
      <c r="D33" s="14" t="s">
        <v>155</v>
      </c>
      <c r="E33" s="15" t="s">
        <v>146</v>
      </c>
      <c r="F33" s="17"/>
      <c r="G33" s="17"/>
      <c r="H33" s="17"/>
      <c r="I33" s="17"/>
      <c r="J33" s="17"/>
      <c r="K33" s="17"/>
      <c r="L33" s="17"/>
      <c r="M33" s="16" t="s">
        <v>28</v>
      </c>
      <c r="N33" s="17"/>
      <c r="O33" s="18" t="n">
        <f aca="false">COUNTIF(F33:N33,"X")+COUNTIF(F33:N33,"o")</f>
        <v>1</v>
      </c>
      <c r="P33" s="19" t="str">
        <f aca="false">IF(COUNTIF(F33:N33,"X")=0,"SIN COBERTURA","Cubierto")</f>
        <v>Cubierto</v>
      </c>
    </row>
    <row r="34" customFormat="false" ht="15" hidden="false" customHeight="false" outlineLevel="0" collapsed="false">
      <c r="D34" s="24" t="s">
        <v>156</v>
      </c>
      <c r="F34" s="25" t="n">
        <f aca="false">COUNTIF(F5:F33,"X")</f>
        <v>3</v>
      </c>
      <c r="G34" s="25" t="n">
        <f aca="false">COUNTIF(G5:G33,"X")</f>
        <v>1</v>
      </c>
      <c r="H34" s="25" t="n">
        <f aca="false">COUNTIF(H5:H33,"X")</f>
        <v>8</v>
      </c>
      <c r="I34" s="25" t="n">
        <f aca="false">COUNTIF(I5:I33,"X")</f>
        <v>5</v>
      </c>
      <c r="J34" s="25" t="n">
        <f aca="false">COUNTIF(J5:J33,"X")</f>
        <v>1</v>
      </c>
      <c r="K34" s="25" t="n">
        <f aca="false">COUNTIF(K5:K33,"X")</f>
        <v>2</v>
      </c>
      <c r="L34" s="25" t="n">
        <f aca="false">COUNTIF(L5:L33,"X")</f>
        <v>1</v>
      </c>
      <c r="M34" s="25" t="n">
        <f aca="false">COUNTIF(M5:M33,"X")</f>
        <v>4</v>
      </c>
      <c r="N34" s="25" t="n">
        <f aca="false">COUNTIF(N5:N33,"X")</f>
        <v>4</v>
      </c>
      <c r="O34" s="26" t="n">
        <f aca="false">SUM(F34:N34)</f>
        <v>29</v>
      </c>
    </row>
  </sheetData>
  <autoFilter ref="B4:P33"/>
  <mergeCells count="1">
    <mergeCell ref="B1:P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7"/>
    <col collapsed="false" customWidth="true" hidden="false" outlineLevel="0" max="5" min="5" style="0" width="54"/>
    <col collapsed="false" customWidth="true" hidden="false" outlineLevel="0" max="14" min="6" style="0" width="8.4"/>
    <col collapsed="false" customWidth="true" hidden="false" outlineLevel="0" max="15" min="15" style="0" width="12"/>
  </cols>
  <sheetData>
    <row r="1" customFormat="false" ht="24" hidden="false" customHeight="true" outlineLevel="0" collapsed="false">
      <c r="B1" s="1" t="s">
        <v>157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10" t="s">
        <v>158</v>
      </c>
    </row>
    <row r="4" customFormat="false" ht="45.75" hidden="false" customHeight="true" outlineLevel="0" collapsed="false">
      <c r="B4" s="11" t="s">
        <v>48</v>
      </c>
      <c r="C4" s="11" t="s">
        <v>159</v>
      </c>
      <c r="D4" s="11" t="s">
        <v>160</v>
      </c>
      <c r="E4" s="11" t="s">
        <v>161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56</v>
      </c>
      <c r="K4" s="12" t="s">
        <v>57</v>
      </c>
      <c r="L4" s="12" t="s">
        <v>58</v>
      </c>
      <c r="M4" s="12" t="s">
        <v>59</v>
      </c>
      <c r="N4" s="12" t="s">
        <v>60</v>
      </c>
      <c r="O4" s="11" t="s">
        <v>61</v>
      </c>
    </row>
    <row r="5" customFormat="false" ht="22.35" hidden="false" customHeight="false" outlineLevel="0" collapsed="false">
      <c r="B5" s="13" t="s">
        <v>162</v>
      </c>
      <c r="C5" s="14" t="s">
        <v>163</v>
      </c>
      <c r="D5" s="15" t="s">
        <v>164</v>
      </c>
      <c r="E5" s="14" t="s">
        <v>165</v>
      </c>
      <c r="F5" s="17"/>
      <c r="G5" s="17"/>
      <c r="H5" s="17"/>
      <c r="I5" s="16" t="s">
        <v>28</v>
      </c>
      <c r="J5" s="16" t="s">
        <v>28</v>
      </c>
      <c r="K5" s="17"/>
      <c r="L5" s="17"/>
      <c r="M5" s="17"/>
      <c r="N5" s="17"/>
      <c r="O5" s="18" t="n">
        <f aca="false">COUNTIF(F5:N5,"X")</f>
        <v>2</v>
      </c>
    </row>
    <row r="6" customFormat="false" ht="15" hidden="false" customHeight="false" outlineLevel="0" collapsed="false">
      <c r="B6" s="20" t="s">
        <v>166</v>
      </c>
      <c r="C6" s="21" t="s">
        <v>167</v>
      </c>
      <c r="D6" s="22" t="s">
        <v>164</v>
      </c>
      <c r="E6" s="21" t="s">
        <v>168</v>
      </c>
      <c r="F6" s="17"/>
      <c r="G6" s="17"/>
      <c r="H6" s="17"/>
      <c r="I6" s="17"/>
      <c r="J6" s="17"/>
      <c r="K6" s="16" t="s">
        <v>28</v>
      </c>
      <c r="L6" s="16" t="s">
        <v>28</v>
      </c>
      <c r="M6" s="17"/>
      <c r="N6" s="16" t="s">
        <v>28</v>
      </c>
      <c r="O6" s="18" t="n">
        <f aca="false">COUNTIF(F6:N6,"X")</f>
        <v>3</v>
      </c>
    </row>
    <row r="7" customFormat="false" ht="15" hidden="false" customHeight="false" outlineLevel="0" collapsed="false">
      <c r="B7" s="13" t="s">
        <v>169</v>
      </c>
      <c r="C7" s="14" t="s">
        <v>170</v>
      </c>
      <c r="D7" s="15" t="s">
        <v>164</v>
      </c>
      <c r="E7" s="14" t="s">
        <v>171</v>
      </c>
      <c r="F7" s="17"/>
      <c r="G7" s="17"/>
      <c r="H7" s="16" t="s">
        <v>28</v>
      </c>
      <c r="I7" s="16" t="s">
        <v>28</v>
      </c>
      <c r="J7" s="17"/>
      <c r="K7" s="17"/>
      <c r="L7" s="17"/>
      <c r="M7" s="17"/>
      <c r="N7" s="17"/>
      <c r="O7" s="18" t="n">
        <f aca="false">COUNTIF(F7:N7,"X")</f>
        <v>2</v>
      </c>
    </row>
    <row r="8" customFormat="false" ht="15" hidden="false" customHeight="false" outlineLevel="0" collapsed="false">
      <c r="B8" s="20" t="s">
        <v>172</v>
      </c>
      <c r="C8" s="21" t="s">
        <v>173</v>
      </c>
      <c r="D8" s="22" t="s">
        <v>164</v>
      </c>
      <c r="E8" s="21" t="s">
        <v>174</v>
      </c>
      <c r="F8" s="23" t="s">
        <v>28</v>
      </c>
      <c r="G8" s="23" t="s">
        <v>28</v>
      </c>
      <c r="H8" s="23" t="s">
        <v>28</v>
      </c>
      <c r="I8" s="23" t="s">
        <v>28</v>
      </c>
      <c r="J8" s="23" t="s">
        <v>28</v>
      </c>
      <c r="K8" s="23" t="s">
        <v>28</v>
      </c>
      <c r="L8" s="23" t="s">
        <v>28</v>
      </c>
      <c r="M8" s="23" t="s">
        <v>28</v>
      </c>
      <c r="N8" s="23" t="s">
        <v>28</v>
      </c>
      <c r="O8" s="18" t="n">
        <f aca="false">COUNTIF(F8:N8,"X")</f>
        <v>9</v>
      </c>
    </row>
    <row r="9" customFormat="false" ht="15" hidden="false" customHeight="false" outlineLevel="0" collapsed="false">
      <c r="B9" s="13" t="s">
        <v>175</v>
      </c>
      <c r="C9" s="14" t="s">
        <v>176</v>
      </c>
      <c r="D9" s="15" t="s">
        <v>177</v>
      </c>
      <c r="E9" s="14" t="s">
        <v>178</v>
      </c>
      <c r="F9" s="16" t="s">
        <v>28</v>
      </c>
      <c r="G9" s="17"/>
      <c r="H9" s="17"/>
      <c r="I9" s="17"/>
      <c r="J9" s="17"/>
      <c r="K9" s="17"/>
      <c r="L9" s="17"/>
      <c r="M9" s="16" t="s">
        <v>28</v>
      </c>
      <c r="N9" s="17"/>
      <c r="O9" s="18" t="n">
        <f aca="false">COUNTIF(F9:N9,"X")</f>
        <v>2</v>
      </c>
    </row>
    <row r="10" customFormat="false" ht="15" hidden="false" customHeight="false" outlineLevel="0" collapsed="false">
      <c r="B10" s="20" t="s">
        <v>179</v>
      </c>
      <c r="C10" s="21" t="s">
        <v>180</v>
      </c>
      <c r="D10" s="22" t="s">
        <v>177</v>
      </c>
      <c r="E10" s="21" t="s">
        <v>181</v>
      </c>
      <c r="F10" s="23" t="s">
        <v>28</v>
      </c>
      <c r="G10" s="23" t="s">
        <v>28</v>
      </c>
      <c r="H10" s="23" t="s">
        <v>28</v>
      </c>
      <c r="I10" s="23" t="s">
        <v>28</v>
      </c>
      <c r="J10" s="23" t="s">
        <v>28</v>
      </c>
      <c r="K10" s="23" t="s">
        <v>28</v>
      </c>
      <c r="L10" s="23" t="s">
        <v>28</v>
      </c>
      <c r="M10" s="23" t="s">
        <v>28</v>
      </c>
      <c r="N10" s="23" t="s">
        <v>28</v>
      </c>
      <c r="O10" s="18" t="n">
        <f aca="false">COUNTIF(F10:N10,"X")</f>
        <v>9</v>
      </c>
    </row>
    <row r="11" customFormat="false" ht="15" hidden="false" customHeight="false" outlineLevel="0" collapsed="false">
      <c r="B11" s="13" t="s">
        <v>182</v>
      </c>
      <c r="C11" s="14" t="s">
        <v>183</v>
      </c>
      <c r="D11" s="15" t="s">
        <v>177</v>
      </c>
      <c r="E11" s="14" t="s">
        <v>184</v>
      </c>
      <c r="F11" s="16" t="s">
        <v>28</v>
      </c>
      <c r="G11" s="16" t="s">
        <v>28</v>
      </c>
      <c r="H11" s="17"/>
      <c r="I11" s="17"/>
      <c r="J11" s="17"/>
      <c r="K11" s="17"/>
      <c r="L11" s="17"/>
      <c r="M11" s="17"/>
      <c r="N11" s="17"/>
      <c r="O11" s="18" t="n">
        <f aca="false">COUNTIF(F11:N11,"X")</f>
        <v>2</v>
      </c>
    </row>
    <row r="12" customFormat="false" ht="15" hidden="false" customHeight="false" outlineLevel="0" collapsed="false">
      <c r="B12" s="20" t="s">
        <v>185</v>
      </c>
      <c r="C12" s="21" t="s">
        <v>186</v>
      </c>
      <c r="D12" s="22" t="s">
        <v>177</v>
      </c>
      <c r="E12" s="21" t="s">
        <v>187</v>
      </c>
      <c r="F12" s="17"/>
      <c r="G12" s="17"/>
      <c r="H12" s="17"/>
      <c r="I12" s="16" t="s">
        <v>28</v>
      </c>
      <c r="J12" s="17"/>
      <c r="K12" s="17"/>
      <c r="L12" s="16" t="s">
        <v>28</v>
      </c>
      <c r="M12" s="16" t="s">
        <v>28</v>
      </c>
      <c r="N12" s="17"/>
      <c r="O12" s="18" t="n">
        <f aca="false">COUNTIF(F12:N12,"X")</f>
        <v>3</v>
      </c>
    </row>
    <row r="13" customFormat="false" ht="15" hidden="false" customHeight="false" outlineLevel="0" collapsed="false">
      <c r="B13" s="13" t="s">
        <v>188</v>
      </c>
      <c r="C13" s="14" t="s">
        <v>189</v>
      </c>
      <c r="D13" s="15" t="s">
        <v>190</v>
      </c>
      <c r="E13" s="14" t="s">
        <v>191</v>
      </c>
      <c r="F13" s="23" t="s">
        <v>28</v>
      </c>
      <c r="G13" s="23" t="s">
        <v>28</v>
      </c>
      <c r="H13" s="23" t="s">
        <v>28</v>
      </c>
      <c r="I13" s="23" t="s">
        <v>28</v>
      </c>
      <c r="J13" s="23" t="s">
        <v>28</v>
      </c>
      <c r="K13" s="23" t="s">
        <v>28</v>
      </c>
      <c r="L13" s="23" t="s">
        <v>28</v>
      </c>
      <c r="M13" s="23" t="s">
        <v>28</v>
      </c>
      <c r="N13" s="23" t="s">
        <v>28</v>
      </c>
      <c r="O13" s="18" t="n">
        <f aca="false">COUNTIF(F13:N13,"X")</f>
        <v>9</v>
      </c>
    </row>
    <row r="14" customFormat="false" ht="15" hidden="false" customHeight="false" outlineLevel="0" collapsed="false">
      <c r="B14" s="20" t="s">
        <v>192</v>
      </c>
      <c r="C14" s="21" t="s">
        <v>193</v>
      </c>
      <c r="D14" s="22" t="s">
        <v>190</v>
      </c>
      <c r="E14" s="21" t="s">
        <v>194</v>
      </c>
      <c r="F14" s="23" t="s">
        <v>28</v>
      </c>
      <c r="G14" s="23" t="s">
        <v>28</v>
      </c>
      <c r="H14" s="23" t="s">
        <v>28</v>
      </c>
      <c r="I14" s="23" t="s">
        <v>28</v>
      </c>
      <c r="J14" s="23" t="s">
        <v>28</v>
      </c>
      <c r="K14" s="23" t="s">
        <v>28</v>
      </c>
      <c r="L14" s="23" t="s">
        <v>28</v>
      </c>
      <c r="M14" s="23" t="s">
        <v>28</v>
      </c>
      <c r="N14" s="23" t="s">
        <v>28</v>
      </c>
      <c r="O14" s="18" t="n">
        <f aca="false">COUNTIF(F14:N14,"X")</f>
        <v>9</v>
      </c>
    </row>
    <row r="15" customFormat="false" ht="15" hidden="false" customHeight="false" outlineLevel="0" collapsed="false">
      <c r="B15" s="13" t="s">
        <v>195</v>
      </c>
      <c r="C15" s="14" t="s">
        <v>196</v>
      </c>
      <c r="D15" s="15" t="s">
        <v>190</v>
      </c>
      <c r="E15" s="14" t="s">
        <v>197</v>
      </c>
      <c r="F15" s="23" t="s">
        <v>28</v>
      </c>
      <c r="G15" s="23" t="s">
        <v>28</v>
      </c>
      <c r="H15" s="23" t="s">
        <v>28</v>
      </c>
      <c r="I15" s="23" t="s">
        <v>28</v>
      </c>
      <c r="J15" s="23" t="s">
        <v>28</v>
      </c>
      <c r="K15" s="23" t="s">
        <v>28</v>
      </c>
      <c r="L15" s="23" t="s">
        <v>28</v>
      </c>
      <c r="M15" s="23" t="s">
        <v>28</v>
      </c>
      <c r="N15" s="23" t="s">
        <v>28</v>
      </c>
      <c r="O15" s="18" t="n">
        <f aca="false">COUNTIF(F15:N15,"X")</f>
        <v>9</v>
      </c>
    </row>
    <row r="16" customFormat="false" ht="15" hidden="false" customHeight="false" outlineLevel="0" collapsed="false">
      <c r="B16" s="20" t="s">
        <v>198</v>
      </c>
      <c r="C16" s="21" t="s">
        <v>199</v>
      </c>
      <c r="D16" s="22" t="s">
        <v>190</v>
      </c>
      <c r="E16" s="21" t="s">
        <v>200</v>
      </c>
      <c r="F16" s="16" t="s">
        <v>28</v>
      </c>
      <c r="G16" s="17"/>
      <c r="H16" s="16" t="s">
        <v>28</v>
      </c>
      <c r="I16" s="16" t="s">
        <v>28</v>
      </c>
      <c r="J16" s="17"/>
      <c r="K16" s="17"/>
      <c r="L16" s="17"/>
      <c r="M16" s="16" t="s">
        <v>28</v>
      </c>
      <c r="N16" s="17"/>
      <c r="O16" s="18" t="n">
        <f aca="false">COUNTIF(F16:N16,"X")</f>
        <v>4</v>
      </c>
    </row>
    <row r="17" customFormat="false" ht="15" hidden="false" customHeight="false" outlineLevel="0" collapsed="false">
      <c r="B17" s="13" t="s">
        <v>201</v>
      </c>
      <c r="C17" s="14" t="s">
        <v>202</v>
      </c>
      <c r="D17" s="15" t="s">
        <v>203</v>
      </c>
      <c r="E17" s="14" t="s">
        <v>204</v>
      </c>
      <c r="F17" s="23" t="s">
        <v>28</v>
      </c>
      <c r="G17" s="23" t="s">
        <v>28</v>
      </c>
      <c r="H17" s="23" t="s">
        <v>28</v>
      </c>
      <c r="I17" s="23" t="s">
        <v>28</v>
      </c>
      <c r="J17" s="23" t="s">
        <v>28</v>
      </c>
      <c r="K17" s="23" t="s">
        <v>28</v>
      </c>
      <c r="L17" s="23" t="s">
        <v>28</v>
      </c>
      <c r="M17" s="23" t="s">
        <v>28</v>
      </c>
      <c r="N17" s="23" t="s">
        <v>28</v>
      </c>
      <c r="O17" s="18" t="n">
        <f aca="false">COUNTIF(F17:N17,"X")</f>
        <v>9</v>
      </c>
    </row>
    <row r="18" customFormat="false" ht="15" hidden="false" customHeight="false" outlineLevel="0" collapsed="false">
      <c r="B18" s="20" t="s">
        <v>205</v>
      </c>
      <c r="C18" s="21" t="s">
        <v>206</v>
      </c>
      <c r="D18" s="22" t="s">
        <v>203</v>
      </c>
      <c r="E18" s="21" t="s">
        <v>207</v>
      </c>
      <c r="F18" s="23" t="s">
        <v>28</v>
      </c>
      <c r="G18" s="23" t="s">
        <v>28</v>
      </c>
      <c r="H18" s="23" t="s">
        <v>28</v>
      </c>
      <c r="I18" s="23" t="s">
        <v>28</v>
      </c>
      <c r="J18" s="23" t="s">
        <v>28</v>
      </c>
      <c r="K18" s="23" t="s">
        <v>28</v>
      </c>
      <c r="L18" s="23" t="s">
        <v>28</v>
      </c>
      <c r="M18" s="23" t="s">
        <v>28</v>
      </c>
      <c r="N18" s="23" t="s">
        <v>28</v>
      </c>
      <c r="O18" s="18" t="n">
        <f aca="false">COUNTIF(F18:N18,"X")</f>
        <v>9</v>
      </c>
    </row>
    <row r="19" customFormat="false" ht="15" hidden="false" customHeight="false" outlineLevel="0" collapsed="false">
      <c r="B19" s="13" t="s">
        <v>208</v>
      </c>
      <c r="C19" s="14" t="s">
        <v>209</v>
      </c>
      <c r="D19" s="15" t="s">
        <v>203</v>
      </c>
      <c r="E19" s="14" t="s">
        <v>210</v>
      </c>
      <c r="F19" s="23" t="s">
        <v>28</v>
      </c>
      <c r="G19" s="23" t="s">
        <v>28</v>
      </c>
      <c r="H19" s="23" t="s">
        <v>28</v>
      </c>
      <c r="I19" s="23" t="s">
        <v>28</v>
      </c>
      <c r="J19" s="23" t="s">
        <v>28</v>
      </c>
      <c r="K19" s="23" t="s">
        <v>28</v>
      </c>
      <c r="L19" s="23" t="s">
        <v>28</v>
      </c>
      <c r="M19" s="23" t="s">
        <v>28</v>
      </c>
      <c r="N19" s="23" t="s">
        <v>28</v>
      </c>
      <c r="O19" s="18" t="n">
        <f aca="false">COUNTIF(F19:N19,"X")</f>
        <v>9</v>
      </c>
    </row>
    <row r="20" customFormat="false" ht="15" hidden="false" customHeight="false" outlineLevel="0" collapsed="false">
      <c r="B20" s="20" t="s">
        <v>211</v>
      </c>
      <c r="C20" s="21" t="s">
        <v>212</v>
      </c>
      <c r="D20" s="22" t="s">
        <v>213</v>
      </c>
      <c r="E20" s="21" t="s">
        <v>214</v>
      </c>
      <c r="F20" s="17"/>
      <c r="G20" s="17"/>
      <c r="H20" s="16" t="s">
        <v>28</v>
      </c>
      <c r="I20" s="16" t="s">
        <v>28</v>
      </c>
      <c r="J20" s="17"/>
      <c r="K20" s="17"/>
      <c r="L20" s="16" t="s">
        <v>28</v>
      </c>
      <c r="M20" s="17"/>
      <c r="N20" s="17"/>
      <c r="O20" s="18" t="n">
        <f aca="false">COUNTIF(F20:N20,"X")</f>
        <v>3</v>
      </c>
    </row>
    <row r="21" customFormat="false" ht="15" hidden="false" customHeight="false" outlineLevel="0" collapsed="false">
      <c r="B21" s="13" t="s">
        <v>215</v>
      </c>
      <c r="C21" s="14" t="s">
        <v>216</v>
      </c>
      <c r="D21" s="15" t="s">
        <v>213</v>
      </c>
      <c r="E21" s="14" t="s">
        <v>217</v>
      </c>
      <c r="F21" s="23" t="s">
        <v>28</v>
      </c>
      <c r="G21" s="23" t="s">
        <v>28</v>
      </c>
      <c r="H21" s="23" t="s">
        <v>28</v>
      </c>
      <c r="I21" s="23" t="s">
        <v>28</v>
      </c>
      <c r="J21" s="23" t="s">
        <v>28</v>
      </c>
      <c r="K21" s="23" t="s">
        <v>28</v>
      </c>
      <c r="L21" s="23" t="s">
        <v>28</v>
      </c>
      <c r="M21" s="23" t="s">
        <v>28</v>
      </c>
      <c r="N21" s="23" t="s">
        <v>28</v>
      </c>
      <c r="O21" s="18" t="n">
        <f aca="false">COUNTIF(F21:N21,"X")</f>
        <v>9</v>
      </c>
    </row>
    <row r="22" customFormat="false" ht="15" hidden="false" customHeight="false" outlineLevel="0" collapsed="false">
      <c r="B22" s="20" t="s">
        <v>218</v>
      </c>
      <c r="C22" s="21" t="s">
        <v>219</v>
      </c>
      <c r="D22" s="22" t="s">
        <v>220</v>
      </c>
      <c r="E22" s="21" t="s">
        <v>221</v>
      </c>
      <c r="F22" s="23" t="s">
        <v>28</v>
      </c>
      <c r="G22" s="23" t="s">
        <v>28</v>
      </c>
      <c r="H22" s="23" t="s">
        <v>28</v>
      </c>
      <c r="I22" s="23" t="s">
        <v>28</v>
      </c>
      <c r="J22" s="23" t="s">
        <v>28</v>
      </c>
      <c r="K22" s="23" t="s">
        <v>28</v>
      </c>
      <c r="L22" s="23" t="s">
        <v>28</v>
      </c>
      <c r="M22" s="23" t="s">
        <v>28</v>
      </c>
      <c r="N22" s="23" t="s">
        <v>28</v>
      </c>
      <c r="O22" s="18" t="n">
        <f aca="false">COUNTIF(F22:N22,"X")</f>
        <v>9</v>
      </c>
    </row>
    <row r="23" customFormat="false" ht="15" hidden="false" customHeight="false" outlineLevel="0" collapsed="false">
      <c r="B23" s="13" t="s">
        <v>222</v>
      </c>
      <c r="C23" s="14" t="s">
        <v>223</v>
      </c>
      <c r="D23" s="15" t="s">
        <v>220</v>
      </c>
      <c r="E23" s="14" t="s">
        <v>224</v>
      </c>
      <c r="F23" s="17"/>
      <c r="G23" s="17"/>
      <c r="H23" s="16" t="s">
        <v>28</v>
      </c>
      <c r="I23" s="17"/>
      <c r="J23" s="16" t="s">
        <v>28</v>
      </c>
      <c r="K23" s="17"/>
      <c r="L23" s="16" t="s">
        <v>28</v>
      </c>
      <c r="M23" s="17"/>
      <c r="N23" s="16" t="s">
        <v>28</v>
      </c>
      <c r="O23" s="18" t="n">
        <f aca="false">COUNTIF(F23:N23,"X")</f>
        <v>4</v>
      </c>
    </row>
  </sheetData>
  <mergeCells count="1">
    <mergeCell ref="B1:O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56"/>
    <col collapsed="false" customWidth="true" hidden="false" outlineLevel="0" max="13" min="5" style="0" width="8.4"/>
    <col collapsed="false" customWidth="true" hidden="false" outlineLevel="0" max="14" min="14" style="0" width="12"/>
  </cols>
  <sheetData>
    <row r="1" customFormat="false" ht="24" hidden="false" customHeight="true" outlineLevel="0" collapsed="false">
      <c r="B1" s="1" t="s">
        <v>225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B2" s="10" t="s">
        <v>226</v>
      </c>
    </row>
    <row r="4" customFormat="false" ht="45.75" hidden="false" customHeight="true" outlineLevel="0" collapsed="false">
      <c r="B4" s="11" t="s">
        <v>48</v>
      </c>
      <c r="C4" s="11" t="s">
        <v>227</v>
      </c>
      <c r="D4" s="11" t="s">
        <v>50</v>
      </c>
      <c r="E4" s="12" t="s">
        <v>52</v>
      </c>
      <c r="F4" s="12" t="s">
        <v>53</v>
      </c>
      <c r="G4" s="12" t="s">
        <v>54</v>
      </c>
      <c r="H4" s="12" t="s">
        <v>55</v>
      </c>
      <c r="I4" s="12" t="s">
        <v>56</v>
      </c>
      <c r="J4" s="12" t="s">
        <v>57</v>
      </c>
      <c r="K4" s="12" t="s">
        <v>58</v>
      </c>
      <c r="L4" s="12" t="s">
        <v>59</v>
      </c>
      <c r="M4" s="12" t="s">
        <v>60</v>
      </c>
      <c r="N4" s="11" t="s">
        <v>61</v>
      </c>
    </row>
    <row r="5" customFormat="false" ht="15" hidden="false" customHeight="false" outlineLevel="0" collapsed="false">
      <c r="B5" s="13" t="s">
        <v>228</v>
      </c>
      <c r="C5" s="15" t="s">
        <v>229</v>
      </c>
      <c r="D5" s="14" t="s">
        <v>230</v>
      </c>
      <c r="E5" s="17"/>
      <c r="F5" s="17"/>
      <c r="G5" s="17"/>
      <c r="H5" s="16" t="s">
        <v>28</v>
      </c>
      <c r="I5" s="16" t="s">
        <v>28</v>
      </c>
      <c r="J5" s="16" t="s">
        <v>28</v>
      </c>
      <c r="K5" s="17"/>
      <c r="L5" s="17"/>
      <c r="M5" s="17"/>
      <c r="N5" s="18" t="n">
        <f aca="false">COUNTIF(E5:M5,"X")</f>
        <v>3</v>
      </c>
    </row>
    <row r="6" customFormat="false" ht="15" hidden="false" customHeight="false" outlineLevel="0" collapsed="false">
      <c r="B6" s="13" t="s">
        <v>231</v>
      </c>
      <c r="C6" s="15" t="s">
        <v>232</v>
      </c>
      <c r="D6" s="14" t="s">
        <v>233</v>
      </c>
      <c r="E6" s="17"/>
      <c r="F6" s="17"/>
      <c r="G6" s="16" t="s">
        <v>28</v>
      </c>
      <c r="H6" s="17"/>
      <c r="I6" s="17"/>
      <c r="J6" s="17"/>
      <c r="K6" s="16" t="s">
        <v>28</v>
      </c>
      <c r="L6" s="17"/>
      <c r="M6" s="17"/>
      <c r="N6" s="18" t="n">
        <f aca="false">COUNTIF(E6:M6,"X")</f>
        <v>2</v>
      </c>
    </row>
    <row r="7" customFormat="false" ht="15" hidden="false" customHeight="false" outlineLevel="0" collapsed="false">
      <c r="B7" s="13" t="s">
        <v>234</v>
      </c>
      <c r="C7" s="15" t="s">
        <v>235</v>
      </c>
      <c r="D7" s="14" t="s">
        <v>236</v>
      </c>
      <c r="E7" s="16" t="s">
        <v>28</v>
      </c>
      <c r="F7" s="16" t="s">
        <v>28</v>
      </c>
      <c r="G7" s="17"/>
      <c r="H7" s="17"/>
      <c r="I7" s="17"/>
      <c r="J7" s="17"/>
      <c r="K7" s="17"/>
      <c r="L7" s="16" t="s">
        <v>28</v>
      </c>
      <c r="M7" s="16" t="s">
        <v>28</v>
      </c>
      <c r="N7" s="18" t="n">
        <f aca="false">COUNTIF(E7:M7,"X")</f>
        <v>4</v>
      </c>
    </row>
    <row r="9" customFormat="false" ht="15" hidden="false" customHeight="false" outlineLevel="0" collapsed="false">
      <c r="B9" s="27" t="s">
        <v>237</v>
      </c>
    </row>
    <row r="10" customFormat="false" ht="15" hidden="false" customHeight="false" outlineLevel="0" collapsed="false">
      <c r="D10" s="28" t="s">
        <v>238</v>
      </c>
      <c r="E10" s="19" t="str">
        <f aca="false">IF(COUNTIF(E5:E7,"X")=0,"HUÉRFANO","OK")</f>
        <v>OK</v>
      </c>
      <c r="F10" s="19" t="str">
        <f aca="false">IF(COUNTIF(F5:F7,"X")=0,"HUÉRFANO","OK")</f>
        <v>OK</v>
      </c>
      <c r="G10" s="19" t="str">
        <f aca="false">IF(COUNTIF(G5:G7,"X")=0,"HUÉRFANO","OK")</f>
        <v>OK</v>
      </c>
      <c r="H10" s="19" t="str">
        <f aca="false">IF(COUNTIF(H5:H7,"X")=0,"HUÉRFANO","OK")</f>
        <v>OK</v>
      </c>
      <c r="I10" s="19" t="str">
        <f aca="false">IF(COUNTIF(I5:I7,"X")=0,"HUÉRFANO","OK")</f>
        <v>OK</v>
      </c>
      <c r="J10" s="19" t="str">
        <f aca="false">IF(COUNTIF(J5:J7,"X")=0,"HUÉRFANO","OK")</f>
        <v>OK</v>
      </c>
      <c r="K10" s="19" t="str">
        <f aca="false">IF(COUNTIF(K5:K7,"X")=0,"HUÉRFANO","OK")</f>
        <v>OK</v>
      </c>
      <c r="L10" s="19" t="str">
        <f aca="false">IF(COUNTIF(L5:L7,"X")=0,"HUÉRFANO","OK")</f>
        <v>OK</v>
      </c>
      <c r="M10" s="19" t="str">
        <f aca="false">IF(COUNTIF(M5:M7,"X")=0,"HUÉRFANO","OK")</f>
        <v>OK</v>
      </c>
    </row>
  </sheetData>
  <mergeCells count="1">
    <mergeCell ref="B1:N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7"/>
    <col collapsed="false" customWidth="true" hidden="false" outlineLevel="0" max="5" min="5" style="0" width="24"/>
    <col collapsed="false" customWidth="true" hidden="false" outlineLevel="0" max="7" min="6" style="0" width="17"/>
    <col collapsed="false" customWidth="true" hidden="false" outlineLevel="0" max="8" min="8" style="0" width="22"/>
  </cols>
  <sheetData>
    <row r="1" customFormat="false" ht="24" hidden="false" customHeight="true" outlineLevel="0" collapsed="false">
      <c r="B1" s="1" t="s">
        <v>239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10" t="s">
        <v>240</v>
      </c>
    </row>
    <row r="4" customFormat="false" ht="30" hidden="false" customHeight="true" outlineLevel="0" collapsed="false">
      <c r="B4" s="11" t="s">
        <v>241</v>
      </c>
      <c r="C4" s="11" t="s">
        <v>242</v>
      </c>
      <c r="D4" s="11" t="s">
        <v>243</v>
      </c>
      <c r="E4" s="11" t="s">
        <v>11</v>
      </c>
      <c r="F4" s="11" t="s">
        <v>244</v>
      </c>
      <c r="G4" s="11" t="s">
        <v>245</v>
      </c>
      <c r="H4" s="11" t="s">
        <v>246</v>
      </c>
    </row>
    <row r="5" customFormat="false" ht="15" hidden="false" customHeight="false" outlineLevel="0" collapsed="false">
      <c r="B5" s="13" t="s">
        <v>52</v>
      </c>
      <c r="C5" s="14" t="s">
        <v>64</v>
      </c>
      <c r="D5" s="15" t="s">
        <v>177</v>
      </c>
      <c r="E5" s="15" t="s">
        <v>247</v>
      </c>
      <c r="F5" s="15" t="s">
        <v>248</v>
      </c>
      <c r="G5" s="15" t="s">
        <v>249</v>
      </c>
      <c r="H5" s="14" t="s">
        <v>250</v>
      </c>
    </row>
    <row r="6" customFormat="false" ht="15" hidden="false" customHeight="false" outlineLevel="0" collapsed="false">
      <c r="B6" s="20" t="s">
        <v>53</v>
      </c>
      <c r="C6" s="21" t="s">
        <v>68</v>
      </c>
      <c r="D6" s="22" t="s">
        <v>177</v>
      </c>
      <c r="E6" s="22" t="s">
        <v>247</v>
      </c>
      <c r="F6" s="22" t="s">
        <v>251</v>
      </c>
      <c r="G6" s="22" t="s">
        <v>252</v>
      </c>
      <c r="H6" s="21" t="s">
        <v>67</v>
      </c>
    </row>
    <row r="7" customFormat="false" ht="32.8" hidden="false" customHeight="false" outlineLevel="0" collapsed="false">
      <c r="B7" s="13" t="s">
        <v>54</v>
      </c>
      <c r="C7" s="14" t="s">
        <v>253</v>
      </c>
      <c r="D7" s="15" t="s">
        <v>114</v>
      </c>
      <c r="E7" s="15" t="s">
        <v>254</v>
      </c>
      <c r="F7" s="15" t="s">
        <v>255</v>
      </c>
      <c r="G7" s="15" t="s">
        <v>256</v>
      </c>
      <c r="H7" s="14" t="s">
        <v>257</v>
      </c>
    </row>
    <row r="8" customFormat="false" ht="22.35" hidden="false" customHeight="false" outlineLevel="0" collapsed="false">
      <c r="B8" s="20" t="s">
        <v>55</v>
      </c>
      <c r="C8" s="21" t="s">
        <v>258</v>
      </c>
      <c r="D8" s="22" t="s">
        <v>95</v>
      </c>
      <c r="E8" s="22" t="s">
        <v>259</v>
      </c>
      <c r="F8" s="22" t="s">
        <v>260</v>
      </c>
      <c r="G8" s="22" t="s">
        <v>261</v>
      </c>
      <c r="H8" s="21" t="s">
        <v>262</v>
      </c>
    </row>
    <row r="9" customFormat="false" ht="15" hidden="false" customHeight="false" outlineLevel="0" collapsed="false">
      <c r="B9" s="13" t="s">
        <v>56</v>
      </c>
      <c r="C9" s="14" t="s">
        <v>263</v>
      </c>
      <c r="D9" s="15" t="s">
        <v>95</v>
      </c>
      <c r="E9" s="15" t="s">
        <v>259</v>
      </c>
      <c r="F9" s="15" t="s">
        <v>264</v>
      </c>
      <c r="G9" s="15" t="s">
        <v>265</v>
      </c>
      <c r="H9" s="14" t="s">
        <v>105</v>
      </c>
    </row>
    <row r="10" customFormat="false" ht="15" hidden="false" customHeight="false" outlineLevel="0" collapsed="false">
      <c r="B10" s="20" t="s">
        <v>57</v>
      </c>
      <c r="C10" s="21" t="s">
        <v>266</v>
      </c>
      <c r="D10" s="22" t="s">
        <v>130</v>
      </c>
      <c r="E10" s="22" t="s">
        <v>267</v>
      </c>
      <c r="F10" s="22" t="s">
        <v>268</v>
      </c>
      <c r="G10" s="22" t="s">
        <v>269</v>
      </c>
      <c r="H10" s="21" t="s">
        <v>270</v>
      </c>
    </row>
    <row r="11" customFormat="false" ht="15" hidden="false" customHeight="false" outlineLevel="0" collapsed="false">
      <c r="B11" s="13" t="s">
        <v>58</v>
      </c>
      <c r="C11" s="14" t="s">
        <v>271</v>
      </c>
      <c r="D11" s="15" t="s">
        <v>114</v>
      </c>
      <c r="E11" s="15" t="s">
        <v>267</v>
      </c>
      <c r="F11" s="15" t="s">
        <v>272</v>
      </c>
      <c r="G11" s="15" t="s">
        <v>273</v>
      </c>
      <c r="H11" s="14" t="s">
        <v>124</v>
      </c>
    </row>
    <row r="12" customFormat="false" ht="15" hidden="false" customHeight="false" outlineLevel="0" collapsed="false">
      <c r="B12" s="20" t="s">
        <v>59</v>
      </c>
      <c r="C12" s="21" t="s">
        <v>274</v>
      </c>
      <c r="D12" s="22" t="s">
        <v>275</v>
      </c>
      <c r="E12" s="22" t="s">
        <v>276</v>
      </c>
      <c r="F12" s="22" t="s">
        <v>277</v>
      </c>
      <c r="G12" s="22" t="s">
        <v>278</v>
      </c>
      <c r="H12" s="21" t="s">
        <v>279</v>
      </c>
    </row>
    <row r="13" customFormat="false" ht="15" hidden="false" customHeight="false" outlineLevel="0" collapsed="false">
      <c r="B13" s="13" t="s">
        <v>60</v>
      </c>
      <c r="C13" s="14" t="s">
        <v>280</v>
      </c>
      <c r="D13" s="15" t="s">
        <v>130</v>
      </c>
      <c r="E13" s="15" t="s">
        <v>276</v>
      </c>
      <c r="F13" s="15" t="s">
        <v>281</v>
      </c>
      <c r="G13" s="15" t="s">
        <v>282</v>
      </c>
      <c r="H13" s="14" t="s">
        <v>283</v>
      </c>
    </row>
  </sheetData>
  <mergeCells count="1">
    <mergeCell ref="B1:H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15"/>
    <col collapsed="false" customWidth="true" hidden="false" outlineLevel="0" max="6" min="6" style="0" width="56"/>
    <col collapsed="false" customWidth="true" hidden="false" outlineLevel="0" max="7" min="7" style="0" width="14"/>
  </cols>
  <sheetData>
    <row r="1" customFormat="false" ht="24" hidden="false" customHeight="true" outlineLevel="0" collapsed="false">
      <c r="B1" s="1" t="s">
        <v>284</v>
      </c>
      <c r="C1" s="1"/>
      <c r="D1" s="1"/>
      <c r="E1" s="1"/>
      <c r="F1" s="1"/>
    </row>
    <row r="2" customFormat="false" ht="15" hidden="false" customHeight="false" outlineLevel="0" collapsed="false">
      <c r="B2" s="10" t="s">
        <v>285</v>
      </c>
    </row>
    <row r="4" customFormat="false" ht="30" hidden="false" customHeight="true" outlineLevel="0" collapsed="false">
      <c r="B4" s="11" t="s">
        <v>286</v>
      </c>
      <c r="C4" s="11" t="s">
        <v>241</v>
      </c>
      <c r="D4" s="11" t="s">
        <v>287</v>
      </c>
      <c r="E4" s="11" t="s">
        <v>288</v>
      </c>
      <c r="F4" s="11" t="s">
        <v>289</v>
      </c>
      <c r="G4" s="11" t="s">
        <v>290</v>
      </c>
    </row>
    <row r="5" customFormat="false" ht="15" hidden="false" customHeight="false" outlineLevel="0" collapsed="false">
      <c r="B5" s="19" t="s">
        <v>291</v>
      </c>
      <c r="C5" s="18" t="s">
        <v>52</v>
      </c>
      <c r="D5" s="14" t="s">
        <v>292</v>
      </c>
      <c r="E5" s="18" t="s">
        <v>293</v>
      </c>
      <c r="F5" s="14" t="s">
        <v>294</v>
      </c>
      <c r="G5" s="29" t="s">
        <v>295</v>
      </c>
    </row>
    <row r="6" customFormat="false" ht="15" hidden="false" customHeight="false" outlineLevel="0" collapsed="false">
      <c r="B6" s="30" t="s">
        <v>296</v>
      </c>
      <c r="C6" s="31" t="s">
        <v>52</v>
      </c>
      <c r="D6" s="21" t="s">
        <v>297</v>
      </c>
      <c r="E6" s="31" t="s">
        <v>293</v>
      </c>
      <c r="F6" s="21" t="s">
        <v>298</v>
      </c>
      <c r="G6" s="29" t="s">
        <v>295</v>
      </c>
    </row>
    <row r="7" customFormat="false" ht="15" hidden="false" customHeight="false" outlineLevel="0" collapsed="false">
      <c r="B7" s="19" t="s">
        <v>299</v>
      </c>
      <c r="C7" s="18" t="s">
        <v>52</v>
      </c>
      <c r="D7" s="14" t="s">
        <v>300</v>
      </c>
      <c r="E7" s="18" t="s">
        <v>177</v>
      </c>
      <c r="F7" s="14" t="s">
        <v>301</v>
      </c>
      <c r="G7" s="29" t="s">
        <v>295</v>
      </c>
    </row>
    <row r="8" customFormat="false" ht="15" hidden="false" customHeight="false" outlineLevel="0" collapsed="false">
      <c r="B8" s="30" t="s">
        <v>302</v>
      </c>
      <c r="C8" s="31" t="s">
        <v>52</v>
      </c>
      <c r="D8" s="21" t="s">
        <v>303</v>
      </c>
      <c r="E8" s="31" t="s">
        <v>177</v>
      </c>
      <c r="F8" s="21" t="s">
        <v>304</v>
      </c>
      <c r="G8" s="29" t="s">
        <v>295</v>
      </c>
    </row>
    <row r="9" customFormat="false" ht="15" hidden="false" customHeight="false" outlineLevel="0" collapsed="false">
      <c r="B9" s="19" t="s">
        <v>305</v>
      </c>
      <c r="C9" s="18" t="s">
        <v>53</v>
      </c>
      <c r="D9" s="14" t="s">
        <v>306</v>
      </c>
      <c r="E9" s="18" t="s">
        <v>177</v>
      </c>
      <c r="F9" s="14" t="s">
        <v>307</v>
      </c>
      <c r="G9" s="29" t="s">
        <v>295</v>
      </c>
    </row>
    <row r="10" customFormat="false" ht="15" hidden="false" customHeight="false" outlineLevel="0" collapsed="false">
      <c r="B10" s="30" t="s">
        <v>308</v>
      </c>
      <c r="C10" s="31" t="s">
        <v>53</v>
      </c>
      <c r="D10" s="21" t="s">
        <v>309</v>
      </c>
      <c r="E10" s="31" t="s">
        <v>177</v>
      </c>
      <c r="F10" s="21" t="s">
        <v>310</v>
      </c>
      <c r="G10" s="29" t="s">
        <v>295</v>
      </c>
    </row>
    <row r="11" customFormat="false" ht="15" hidden="false" customHeight="false" outlineLevel="0" collapsed="false">
      <c r="B11" s="19" t="s">
        <v>311</v>
      </c>
      <c r="C11" s="18" t="s">
        <v>54</v>
      </c>
      <c r="D11" s="14" t="s">
        <v>312</v>
      </c>
      <c r="E11" s="18" t="s">
        <v>293</v>
      </c>
      <c r="F11" s="14" t="s">
        <v>313</v>
      </c>
      <c r="G11" s="29" t="s">
        <v>295</v>
      </c>
    </row>
    <row r="12" customFormat="false" ht="15" hidden="false" customHeight="false" outlineLevel="0" collapsed="false">
      <c r="B12" s="30" t="s">
        <v>314</v>
      </c>
      <c r="C12" s="31" t="s">
        <v>54</v>
      </c>
      <c r="D12" s="21" t="s">
        <v>315</v>
      </c>
      <c r="E12" s="31" t="s">
        <v>293</v>
      </c>
      <c r="F12" s="21" t="s">
        <v>316</v>
      </c>
      <c r="G12" s="29" t="s">
        <v>295</v>
      </c>
    </row>
    <row r="13" customFormat="false" ht="15" hidden="false" customHeight="false" outlineLevel="0" collapsed="false">
      <c r="B13" s="19" t="s">
        <v>317</v>
      </c>
      <c r="C13" s="18" t="s">
        <v>54</v>
      </c>
      <c r="D13" s="14" t="s">
        <v>318</v>
      </c>
      <c r="E13" s="18" t="s">
        <v>293</v>
      </c>
      <c r="F13" s="14" t="s">
        <v>319</v>
      </c>
      <c r="G13" s="29" t="s">
        <v>295</v>
      </c>
    </row>
    <row r="14" customFormat="false" ht="15" hidden="false" customHeight="false" outlineLevel="0" collapsed="false">
      <c r="B14" s="30" t="s">
        <v>320</v>
      </c>
      <c r="C14" s="31" t="s">
        <v>54</v>
      </c>
      <c r="D14" s="21" t="s">
        <v>321</v>
      </c>
      <c r="E14" s="31" t="s">
        <v>293</v>
      </c>
      <c r="F14" s="21" t="s">
        <v>322</v>
      </c>
      <c r="G14" s="29" t="s">
        <v>295</v>
      </c>
    </row>
    <row r="15" customFormat="false" ht="15" hidden="false" customHeight="false" outlineLevel="0" collapsed="false">
      <c r="B15" s="19" t="s">
        <v>323</v>
      </c>
      <c r="C15" s="18" t="s">
        <v>55</v>
      </c>
      <c r="D15" s="14" t="s">
        <v>324</v>
      </c>
      <c r="E15" s="18" t="s">
        <v>293</v>
      </c>
      <c r="F15" s="14" t="s">
        <v>325</v>
      </c>
      <c r="G15" s="29" t="s">
        <v>295</v>
      </c>
    </row>
    <row r="16" customFormat="false" ht="15" hidden="false" customHeight="false" outlineLevel="0" collapsed="false">
      <c r="B16" s="30" t="s">
        <v>326</v>
      </c>
      <c r="C16" s="31" t="s">
        <v>55</v>
      </c>
      <c r="D16" s="21" t="s">
        <v>327</v>
      </c>
      <c r="E16" s="31" t="s">
        <v>293</v>
      </c>
      <c r="F16" s="21" t="s">
        <v>328</v>
      </c>
      <c r="G16" s="29" t="s">
        <v>295</v>
      </c>
    </row>
    <row r="17" customFormat="false" ht="15" hidden="false" customHeight="false" outlineLevel="0" collapsed="false">
      <c r="B17" s="19" t="s">
        <v>329</v>
      </c>
      <c r="C17" s="18" t="s">
        <v>55</v>
      </c>
      <c r="D17" s="14" t="s">
        <v>330</v>
      </c>
      <c r="E17" s="18" t="s">
        <v>331</v>
      </c>
      <c r="F17" s="14" t="s">
        <v>332</v>
      </c>
      <c r="G17" s="29" t="s">
        <v>295</v>
      </c>
    </row>
    <row r="18" customFormat="false" ht="15" hidden="false" customHeight="false" outlineLevel="0" collapsed="false">
      <c r="B18" s="30" t="s">
        <v>333</v>
      </c>
      <c r="C18" s="31" t="s">
        <v>55</v>
      </c>
      <c r="D18" s="21" t="s">
        <v>334</v>
      </c>
      <c r="E18" s="31" t="s">
        <v>170</v>
      </c>
      <c r="F18" s="21" t="s">
        <v>335</v>
      </c>
      <c r="G18" s="29" t="s">
        <v>295</v>
      </c>
    </row>
    <row r="19" customFormat="false" ht="15" hidden="false" customHeight="false" outlineLevel="0" collapsed="false">
      <c r="B19" s="19" t="s">
        <v>336</v>
      </c>
      <c r="C19" s="18" t="s">
        <v>55</v>
      </c>
      <c r="D19" s="14" t="s">
        <v>337</v>
      </c>
      <c r="E19" s="18" t="s">
        <v>331</v>
      </c>
      <c r="F19" s="14" t="s">
        <v>338</v>
      </c>
      <c r="G19" s="29" t="s">
        <v>295</v>
      </c>
    </row>
    <row r="20" customFormat="false" ht="15" hidden="false" customHeight="false" outlineLevel="0" collapsed="false">
      <c r="B20" s="30" t="s">
        <v>339</v>
      </c>
      <c r="C20" s="31" t="s">
        <v>56</v>
      </c>
      <c r="D20" s="21" t="s">
        <v>340</v>
      </c>
      <c r="E20" s="31" t="s">
        <v>293</v>
      </c>
      <c r="F20" s="21" t="s">
        <v>341</v>
      </c>
      <c r="G20" s="29" t="s">
        <v>295</v>
      </c>
    </row>
    <row r="21" customFormat="false" ht="15" hidden="false" customHeight="false" outlineLevel="0" collapsed="false">
      <c r="B21" s="19" t="s">
        <v>342</v>
      </c>
      <c r="C21" s="18" t="s">
        <v>56</v>
      </c>
      <c r="D21" s="14" t="s">
        <v>343</v>
      </c>
      <c r="E21" s="18" t="s">
        <v>293</v>
      </c>
      <c r="F21" s="14" t="s">
        <v>344</v>
      </c>
      <c r="G21" s="29" t="s">
        <v>295</v>
      </c>
    </row>
    <row r="22" customFormat="false" ht="15" hidden="false" customHeight="false" outlineLevel="0" collapsed="false">
      <c r="B22" s="30" t="s">
        <v>345</v>
      </c>
      <c r="C22" s="31" t="s">
        <v>57</v>
      </c>
      <c r="D22" s="21" t="s">
        <v>346</v>
      </c>
      <c r="E22" s="31" t="s">
        <v>177</v>
      </c>
      <c r="F22" s="21" t="s">
        <v>347</v>
      </c>
      <c r="G22" s="29" t="s">
        <v>295</v>
      </c>
    </row>
    <row r="23" customFormat="false" ht="15" hidden="false" customHeight="false" outlineLevel="0" collapsed="false">
      <c r="B23" s="19" t="s">
        <v>348</v>
      </c>
      <c r="C23" s="18" t="s">
        <v>57</v>
      </c>
      <c r="D23" s="14" t="s">
        <v>349</v>
      </c>
      <c r="E23" s="18" t="s">
        <v>293</v>
      </c>
      <c r="F23" s="14" t="s">
        <v>350</v>
      </c>
      <c r="G23" s="29" t="s">
        <v>295</v>
      </c>
    </row>
    <row r="24" customFormat="false" ht="22.35" hidden="false" customHeight="false" outlineLevel="0" collapsed="false">
      <c r="B24" s="30" t="s">
        <v>351</v>
      </c>
      <c r="C24" s="31" t="s">
        <v>58</v>
      </c>
      <c r="D24" s="21" t="s">
        <v>352</v>
      </c>
      <c r="E24" s="31" t="s">
        <v>331</v>
      </c>
      <c r="F24" s="21" t="s">
        <v>353</v>
      </c>
      <c r="G24" s="29" t="s">
        <v>295</v>
      </c>
    </row>
    <row r="25" customFormat="false" ht="15" hidden="false" customHeight="false" outlineLevel="0" collapsed="false">
      <c r="B25" s="19" t="s">
        <v>354</v>
      </c>
      <c r="C25" s="18" t="s">
        <v>58</v>
      </c>
      <c r="D25" s="14" t="s">
        <v>355</v>
      </c>
      <c r="E25" s="18" t="s">
        <v>293</v>
      </c>
      <c r="F25" s="14" t="s">
        <v>356</v>
      </c>
      <c r="G25" s="29" t="s">
        <v>295</v>
      </c>
    </row>
    <row r="26" customFormat="false" ht="15" hidden="false" customHeight="false" outlineLevel="0" collapsed="false">
      <c r="B26" s="30" t="s">
        <v>357</v>
      </c>
      <c r="C26" s="31" t="s">
        <v>59</v>
      </c>
      <c r="D26" s="21" t="s">
        <v>358</v>
      </c>
      <c r="E26" s="31" t="s">
        <v>177</v>
      </c>
      <c r="F26" s="21" t="s">
        <v>359</v>
      </c>
      <c r="G26" s="29" t="s">
        <v>295</v>
      </c>
    </row>
    <row r="27" customFormat="false" ht="15" hidden="false" customHeight="false" outlineLevel="0" collapsed="false">
      <c r="B27" s="19" t="s">
        <v>360</v>
      </c>
      <c r="C27" s="18" t="s">
        <v>59</v>
      </c>
      <c r="D27" s="14" t="s">
        <v>361</v>
      </c>
      <c r="E27" s="18" t="s">
        <v>293</v>
      </c>
      <c r="F27" s="14" t="s">
        <v>362</v>
      </c>
      <c r="G27" s="29" t="s">
        <v>295</v>
      </c>
    </row>
    <row r="28" customFormat="false" ht="15" hidden="false" customHeight="false" outlineLevel="0" collapsed="false">
      <c r="B28" s="30" t="s">
        <v>363</v>
      </c>
      <c r="C28" s="31" t="s">
        <v>59</v>
      </c>
      <c r="D28" s="21" t="s">
        <v>364</v>
      </c>
      <c r="E28" s="31" t="s">
        <v>293</v>
      </c>
      <c r="F28" s="21" t="s">
        <v>365</v>
      </c>
      <c r="G28" s="29" t="s">
        <v>295</v>
      </c>
    </row>
    <row r="29" customFormat="false" ht="15" hidden="false" customHeight="false" outlineLevel="0" collapsed="false">
      <c r="B29" s="19" t="s">
        <v>366</v>
      </c>
      <c r="C29" s="18" t="s">
        <v>59</v>
      </c>
      <c r="D29" s="14" t="s">
        <v>367</v>
      </c>
      <c r="E29" s="18" t="s">
        <v>331</v>
      </c>
      <c r="F29" s="14" t="s">
        <v>368</v>
      </c>
      <c r="G29" s="29" t="s">
        <v>295</v>
      </c>
    </row>
    <row r="30" customFormat="false" ht="15" hidden="false" customHeight="false" outlineLevel="0" collapsed="false">
      <c r="B30" s="30" t="s">
        <v>369</v>
      </c>
      <c r="C30" s="31" t="s">
        <v>60</v>
      </c>
      <c r="D30" s="21" t="s">
        <v>370</v>
      </c>
      <c r="E30" s="31" t="s">
        <v>293</v>
      </c>
      <c r="F30" s="21" t="s">
        <v>371</v>
      </c>
      <c r="G30" s="29" t="s">
        <v>295</v>
      </c>
    </row>
    <row r="31" customFormat="false" ht="15" hidden="false" customHeight="false" outlineLevel="0" collapsed="false">
      <c r="B31" s="19" t="s">
        <v>372</v>
      </c>
      <c r="C31" s="18" t="s">
        <v>60</v>
      </c>
      <c r="D31" s="14" t="s">
        <v>373</v>
      </c>
      <c r="E31" s="18" t="s">
        <v>293</v>
      </c>
      <c r="F31" s="14" t="s">
        <v>374</v>
      </c>
      <c r="G31" s="29" t="s">
        <v>295</v>
      </c>
    </row>
    <row r="32" customFormat="false" ht="22.35" hidden="false" customHeight="false" outlineLevel="0" collapsed="false">
      <c r="B32" s="30" t="s">
        <v>375</v>
      </c>
      <c r="C32" s="31" t="s">
        <v>60</v>
      </c>
      <c r="D32" s="21" t="s">
        <v>376</v>
      </c>
      <c r="E32" s="31" t="s">
        <v>293</v>
      </c>
      <c r="F32" s="21" t="s">
        <v>377</v>
      </c>
      <c r="G32" s="29" t="s">
        <v>295</v>
      </c>
    </row>
    <row r="33" customFormat="false" ht="15" hidden="false" customHeight="false" outlineLevel="0" collapsed="false">
      <c r="B33" s="19" t="s">
        <v>378</v>
      </c>
      <c r="C33" s="18" t="s">
        <v>60</v>
      </c>
      <c r="D33" s="14" t="s">
        <v>379</v>
      </c>
      <c r="E33" s="18" t="s">
        <v>164</v>
      </c>
      <c r="F33" s="14" t="s">
        <v>380</v>
      </c>
      <c r="G33" s="29" t="s">
        <v>295</v>
      </c>
    </row>
  </sheetData>
  <autoFilter ref="B4:G33"/>
  <mergeCells count="1">
    <mergeCell ref="B1:F1"/>
  </mergeCells>
  <dataValidations count="1">
    <dataValidation allowBlank="true" error="Elija Pendiente, Conforme, No conforme o Bloqueado." errorStyle="stop" errorTitle="Valor no permitido" operator="between" showDropDown="false" showErrorMessage="true" showInputMessage="false" sqref="G5:G33" type="list">
      <formula1>"Pendiente,Conforme,No conforme,Bloqueado"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24" hidden="false" customHeight="true" outlineLevel="0" collapsed="false">
      <c r="B1" s="1" t="s">
        <v>381</v>
      </c>
      <c r="C1" s="1"/>
      <c r="D1" s="1"/>
    </row>
    <row r="2" customFormat="false" ht="15" hidden="false" customHeight="false" outlineLevel="0" collapsed="false">
      <c r="B2" s="10" t="s">
        <v>382</v>
      </c>
    </row>
    <row r="4" customFormat="false" ht="25.5" hidden="false" customHeight="true" outlineLevel="0" collapsed="false">
      <c r="B4" s="11" t="s">
        <v>383</v>
      </c>
      <c r="C4" s="11" t="s">
        <v>384</v>
      </c>
      <c r="D4" s="11" t="s">
        <v>385</v>
      </c>
    </row>
    <row r="5" customFormat="false" ht="15" hidden="false" customHeight="false" outlineLevel="0" collapsed="false">
      <c r="B5" s="32" t="s">
        <v>386</v>
      </c>
      <c r="C5" s="33" t="n">
        <f aca="false">COUNTA('RF ↔ CUS'!$B$5:$B$33)</f>
        <v>29</v>
      </c>
      <c r="D5" s="34" t="s">
        <v>387</v>
      </c>
    </row>
    <row r="6" customFormat="false" ht="15" hidden="false" customHeight="false" outlineLevel="0" collapsed="false">
      <c r="B6" s="32" t="s">
        <v>388</v>
      </c>
      <c r="C6" s="33" t="n">
        <f aca="false">COUNTIF('RF ↔ CUS'!$P$5:$P$33,"Cubierto")</f>
        <v>29</v>
      </c>
      <c r="D6" s="34" t="s">
        <v>389</v>
      </c>
    </row>
    <row r="7" customFormat="false" ht="15" hidden="false" customHeight="false" outlineLevel="0" collapsed="false">
      <c r="B7" s="32" t="s">
        <v>390</v>
      </c>
      <c r="C7" s="33" t="n">
        <f aca="false">COUNTIF('RF ↔ CUS'!$P$5:$P$33,"SIN COBERTURA")</f>
        <v>0</v>
      </c>
      <c r="D7" s="34" t="s">
        <v>391</v>
      </c>
    </row>
    <row r="8" customFormat="false" ht="15" hidden="false" customHeight="false" outlineLevel="0" collapsed="false">
      <c r="B8" s="32" t="s">
        <v>392</v>
      </c>
      <c r="C8" s="35" t="n">
        <f aca="false">IF(C5=0,0,C6/C5)</f>
        <v>1</v>
      </c>
      <c r="D8" s="34" t="s">
        <v>393</v>
      </c>
    </row>
    <row r="9" customFormat="false" ht="15" hidden="false" customHeight="false" outlineLevel="0" collapsed="false">
      <c r="B9" s="32" t="s">
        <v>394</v>
      </c>
      <c r="C9" s="33" t="n">
        <f aca="false">COUNTA('CUS ↔ Entrega'!$B$5:$B$13)</f>
        <v>9</v>
      </c>
      <c r="D9" s="34" t="s">
        <v>395</v>
      </c>
    </row>
    <row r="10" customFormat="false" ht="15" hidden="false" customHeight="false" outlineLevel="0" collapsed="false">
      <c r="B10" s="32" t="s">
        <v>396</v>
      </c>
      <c r="C10" s="33" t="n">
        <f aca="false">COUNTIF('RF ↔ CUS'!$F$34:$N$34,0)</f>
        <v>0</v>
      </c>
      <c r="D10" s="34" t="s">
        <v>397</v>
      </c>
    </row>
    <row r="11" customFormat="false" ht="15" hidden="false" customHeight="false" outlineLevel="0" collapsed="false">
      <c r="B11" s="32" t="s">
        <v>398</v>
      </c>
      <c r="C11" s="33" t="n">
        <f aca="false">COUNTA('RNF ↔ CUS'!$B$5:$B$23)</f>
        <v>19</v>
      </c>
      <c r="D11" s="34" t="s">
        <v>399</v>
      </c>
    </row>
    <row r="12" customFormat="false" ht="15" hidden="false" customHeight="false" outlineLevel="0" collapsed="false">
      <c r="B12" s="32" t="s">
        <v>400</v>
      </c>
      <c r="C12" s="33" t="n">
        <f aca="false">COUNTIF('RNF ↔ CUS'!$O$5:$O$23,0)</f>
        <v>0</v>
      </c>
      <c r="D12" s="34" t="s">
        <v>401</v>
      </c>
    </row>
    <row r="13" customFormat="false" ht="15" hidden="false" customHeight="false" outlineLevel="0" collapsed="false">
      <c r="B13" s="32" t="s">
        <v>402</v>
      </c>
      <c r="C13" s="33" t="n">
        <f aca="false">COUNTA('PN ↔ CUS'!$B$5:$B$7)</f>
        <v>3</v>
      </c>
      <c r="D13" s="34" t="s">
        <v>403</v>
      </c>
    </row>
    <row r="14" customFormat="false" ht="15" hidden="false" customHeight="false" outlineLevel="0" collapsed="false">
      <c r="B14" s="32" t="s">
        <v>404</v>
      </c>
      <c r="C14" s="33" t="n">
        <f aca="false">COUNTA('CUS ↔ Pruebas'!$B$5:$B$33)</f>
        <v>29</v>
      </c>
      <c r="D14" s="34" t="s">
        <v>405</v>
      </c>
    </row>
    <row r="15" customFormat="false" ht="15" hidden="false" customHeight="false" outlineLevel="0" collapsed="false">
      <c r="B15" s="32" t="s">
        <v>406</v>
      </c>
      <c r="C15" s="33" t="n">
        <f aca="false">COUNTIF('CUS ↔ Pruebas'!$G$5:$G$33,"Conforme")</f>
        <v>0</v>
      </c>
      <c r="D15" s="34" t="s">
        <v>407</v>
      </c>
    </row>
    <row r="16" customFormat="false" ht="15" hidden="false" customHeight="false" outlineLevel="0" collapsed="false">
      <c r="B16" s="32" t="s">
        <v>408</v>
      </c>
      <c r="C16" s="35" t="n">
        <f aca="false">IF(C14=0,0,C15/C14)</f>
        <v>0</v>
      </c>
      <c r="D16" s="34" t="s">
        <v>409</v>
      </c>
    </row>
    <row r="18" customFormat="false" ht="15" hidden="false" customHeight="false" outlineLevel="0" collapsed="false">
      <c r="B18" s="4" t="s">
        <v>410</v>
      </c>
    </row>
    <row r="19" customFormat="false" ht="21.75" hidden="false" customHeight="true" outlineLevel="0" collapsed="false">
      <c r="B19" s="11" t="s">
        <v>241</v>
      </c>
      <c r="C19" s="11" t="s">
        <v>411</v>
      </c>
      <c r="D19" s="11" t="s">
        <v>412</v>
      </c>
    </row>
    <row r="20" customFormat="false" ht="15" hidden="false" customHeight="false" outlineLevel="0" collapsed="false">
      <c r="B20" s="15" t="s">
        <v>413</v>
      </c>
      <c r="C20" s="19" t="n">
        <f aca="false">'RF ↔ CUS'!F34</f>
        <v>3</v>
      </c>
      <c r="D20" s="14" t="s">
        <v>250</v>
      </c>
    </row>
    <row r="21" customFormat="false" ht="15" hidden="false" customHeight="false" outlineLevel="0" collapsed="false">
      <c r="B21" s="22" t="s">
        <v>414</v>
      </c>
      <c r="C21" s="30" t="n">
        <f aca="false">'RF ↔ CUS'!G34</f>
        <v>1</v>
      </c>
      <c r="D21" s="21" t="s">
        <v>67</v>
      </c>
    </row>
    <row r="22" customFormat="false" ht="15" hidden="false" customHeight="false" outlineLevel="0" collapsed="false">
      <c r="B22" s="15" t="s">
        <v>415</v>
      </c>
      <c r="C22" s="19" t="n">
        <f aca="false">'RF ↔ CUS'!H34</f>
        <v>8</v>
      </c>
      <c r="D22" s="14" t="s">
        <v>257</v>
      </c>
    </row>
    <row r="23" customFormat="false" ht="15" hidden="false" customHeight="false" outlineLevel="0" collapsed="false">
      <c r="B23" s="22" t="s">
        <v>416</v>
      </c>
      <c r="C23" s="30" t="n">
        <f aca="false">'RF ↔ CUS'!I34</f>
        <v>5</v>
      </c>
      <c r="D23" s="21" t="s">
        <v>262</v>
      </c>
    </row>
    <row r="24" customFormat="false" ht="15" hidden="false" customHeight="false" outlineLevel="0" collapsed="false">
      <c r="B24" s="15" t="s">
        <v>417</v>
      </c>
      <c r="C24" s="19" t="n">
        <f aca="false">'RF ↔ CUS'!J34</f>
        <v>1</v>
      </c>
      <c r="D24" s="14" t="s">
        <v>105</v>
      </c>
    </row>
    <row r="25" customFormat="false" ht="15" hidden="false" customHeight="false" outlineLevel="0" collapsed="false">
      <c r="B25" s="22" t="s">
        <v>418</v>
      </c>
      <c r="C25" s="30" t="n">
        <f aca="false">'RF ↔ CUS'!K34</f>
        <v>2</v>
      </c>
      <c r="D25" s="21" t="s">
        <v>270</v>
      </c>
    </row>
    <row r="26" customFormat="false" ht="15" hidden="false" customHeight="false" outlineLevel="0" collapsed="false">
      <c r="B26" s="15" t="s">
        <v>419</v>
      </c>
      <c r="C26" s="19" t="n">
        <f aca="false">'RF ↔ CUS'!L34</f>
        <v>1</v>
      </c>
      <c r="D26" s="14" t="s">
        <v>124</v>
      </c>
    </row>
    <row r="27" customFormat="false" ht="15" hidden="false" customHeight="false" outlineLevel="0" collapsed="false">
      <c r="B27" s="22" t="s">
        <v>420</v>
      </c>
      <c r="C27" s="30" t="n">
        <f aca="false">'RF ↔ CUS'!M34</f>
        <v>4</v>
      </c>
      <c r="D27" s="21" t="s">
        <v>279</v>
      </c>
    </row>
    <row r="28" customFormat="false" ht="15" hidden="false" customHeight="false" outlineLevel="0" collapsed="false">
      <c r="B28" s="15" t="s">
        <v>421</v>
      </c>
      <c r="C28" s="19" t="n">
        <f aca="false">'RF ↔ CUS'!N34</f>
        <v>4</v>
      </c>
      <c r="D28" s="14" t="s">
        <v>283</v>
      </c>
    </row>
    <row r="31" customFormat="false" ht="15" hidden="false" customHeight="true" outlineLevel="0" collapsed="false">
      <c r="B31" s="36" t="s">
        <v>422</v>
      </c>
      <c r="C31" s="36"/>
      <c r="D31" s="36"/>
    </row>
    <row r="32" customFormat="false" ht="15" hidden="false" customHeight="false" outlineLevel="0" collapsed="false">
      <c r="B32" s="36"/>
      <c r="C32" s="36"/>
      <c r="D32" s="36"/>
    </row>
  </sheetData>
  <mergeCells count="2">
    <mergeCell ref="B1:D1"/>
    <mergeCell ref="B31:D3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2026-09-17T19:20:25Z</dcterms:created>
  <dc:creator>openpyxl</dc:creator>
  <dc:description/>
  <dc:language>en-US</dc:language>
  <cp:lastModifiedBy/>
  <dcterms:modified xsi:type="dcterms:W3CDTF">2026-09-17T19:20:25Z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