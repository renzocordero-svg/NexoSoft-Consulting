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RF ↔ CUS" sheetId="2" r:id="rId6"/>
    <sheet state="visible" name="RNF ↔ CUS" sheetId="3" r:id="rId7"/>
    <sheet state="visible" name="PN ↔ CUS" sheetId="4" r:id="rId8"/>
    <sheet state="visible" name="CUS ↔ Entrega" sheetId="5" r:id="rId9"/>
    <sheet state="visible" name="CUS ↔ Pruebas" sheetId="6" r:id="rId10"/>
    <sheet state="visible" name="Cobertura" sheetId="7" r:id="rId11"/>
  </sheets>
  <definedNames>
    <definedName hidden="1" localSheetId="1" name="_xlnm._FilterDatabase">'RF ↔ CUS'!$B$4:$P$33</definedName>
    <definedName hidden="1" localSheetId="5" name="_xlnm._FilterDatabase">'CUS ↔ Pruebas'!$B$4:$G$33</definedName>
  </definedNames>
  <calcPr/>
</workbook>
</file>

<file path=xl/sharedStrings.xml><?xml version="1.0" encoding="utf-8"?>
<sst xmlns="http://schemas.openxmlformats.org/spreadsheetml/2006/main" count="777" uniqueCount="423">
  <si>
    <t>MATRIZ DE TRAZABILIDAD  ·  FERREMAX (FMX)</t>
  </si>
  <si>
    <t>MATRIZ DE TRAZABILIDAD  ·  REQUISITOS FUNCIONALES ↔ CASOS DE USO</t>
  </si>
  <si>
    <t>MATRIZ DE TRAZABILIDAD  ·  REQUISITOS NO FUNCIONALES ↔ CASOS DE USO</t>
  </si>
  <si>
    <t>MATRIZ DE TRAZABILIDAD  ·  PROCESOS DE NEGOCIO ↔ CASOS DE USO</t>
  </si>
  <si>
    <t>Documento</t>
  </si>
  <si>
    <t>FMX_MT.xlsx  —  Matriz de Trazabilidad RF ↔ CUS</t>
  </si>
  <si>
    <t>Versión</t>
  </si>
  <si>
    <t>1.1</t>
  </si>
  <si>
    <t>Fecha de consolidación</t>
  </si>
  <si>
    <t>Origen: Documento de Negocio (FMX_DN.docx). X = el caso de uso automatiza una actividad de ese proceso.</t>
  </si>
  <si>
    <t>16/09/2026</t>
  </si>
  <si>
    <t>Actividad del cronograma</t>
  </si>
  <si>
    <t>Consolidación de la matriz de trazabilidad RF ↔ CUS</t>
  </si>
  <si>
    <t>Hito</t>
  </si>
  <si>
    <t>Hito 1 — Inicio y Requisitos</t>
  </si>
  <si>
    <t>Responsable</t>
  </si>
  <si>
    <t>X = realización principal   ·   o = participación de soporte</t>
  </si>
  <si>
    <t>Vegas Villalva</t>
  </si>
  <si>
    <t>Grupo</t>
  </si>
  <si>
    <t>Grupo 2</t>
  </si>
  <si>
    <t>Proyecto</t>
  </si>
  <si>
    <t>FERREMAX — Sistema Web de Gestión para Ferretería</t>
  </si>
  <si>
    <t>Código</t>
  </si>
  <si>
    <t>Curso</t>
  </si>
  <si>
    <t>Gestión de la Configuración y Mantenimiento del Software · UNMSM · FISI · E.P. de Ingeniería de Software · Docente: Lenis Rossi Wong Portillo</t>
  </si>
  <si>
    <t>Fuentes</t>
  </si>
  <si>
    <t>X = el requisito restringe directamente ese caso de uso   ·   TODOS = restricción transversal a todo el sistema</t>
  </si>
  <si>
    <t>DOCUMENTACIÓN DE FERREMAX (RF y RNF) · FMX_AS.docx · FMX_CU1.docx a FMX_CU9.docx</t>
  </si>
  <si>
    <t>Proceso de negocio</t>
  </si>
  <si>
    <t>Requisito funcional</t>
  </si>
  <si>
    <t>PROPÓSITO</t>
  </si>
  <si>
    <t>Descripción</t>
  </si>
  <si>
    <t>Módulo</t>
  </si>
  <si>
    <t>Esta matriz relaciona cada requisito del sistema con el caso de uso que lo realiza. Sirve para tres cosas:</t>
  </si>
  <si>
    <t>CUS-01</t>
  </si>
  <si>
    <t>Requisito no funcional</t>
  </si>
  <si>
    <t>Categoría</t>
  </si>
  <si>
    <t>Criterio de aceptación</t>
  </si>
  <si>
    <t>1)  Comprobar que ningún requisito quedó sin implementar (cobertura hacia adelante).</t>
  </si>
  <si>
    <t>2)  Comprobar que ningún caso de uso existe sin un requisito que lo justifique (cobertura hacia atrás).</t>
  </si>
  <si>
    <t>CUS-02</t>
  </si>
  <si>
    <t>CUS-03</t>
  </si>
  <si>
    <t>3)  Medir el impacto de un cambio: al modificar un RF se sabe de inmediato qué casos de uso, qué documentos</t>
  </si>
  <si>
    <t>CUS-04</t>
  </si>
  <si>
    <t xml:space="preserve">     y qué casos de prueba hay que revisar.</t>
  </si>
  <si>
    <t>CUS-05</t>
  </si>
  <si>
    <t>CUS-06</t>
  </si>
  <si>
    <t>LEYENDA DE LA MATRIZ</t>
  </si>
  <si>
    <t>CUS-07</t>
  </si>
  <si>
    <t>CUS-08</t>
  </si>
  <si>
    <t>X</t>
  </si>
  <si>
    <t>CUS-09</t>
  </si>
  <si>
    <t>Nº de CUS</t>
  </si>
  <si>
    <t>Realización principal: el caso de uso implementa el requisito.</t>
  </si>
  <si>
    <t>RNF-01</t>
  </si>
  <si>
    <t>PN1</t>
  </si>
  <si>
    <t>o</t>
  </si>
  <si>
    <t>Estado</t>
  </si>
  <si>
    <t>RF-01</t>
  </si>
  <si>
    <t>Tiempo de respuesta en ventas</t>
  </si>
  <si>
    <t>Participación de soporte: el caso de uso usa o depende del requisito, sin ser su dueño.</t>
  </si>
  <si>
    <t>Iniciar sesión</t>
  </si>
  <si>
    <t>Venta al cliente</t>
  </si>
  <si>
    <t>Rendimiento</t>
  </si>
  <si>
    <t>Menos de 2 segundos entre la confirmación de la venta y la factura en pantalla.</t>
  </si>
  <si>
    <t>Atención en mostrador, cobro y emisión del comprobante.</t>
  </si>
  <si>
    <t>Celda vacía: no existe relación entre el requisito y el caso de uso.</t>
  </si>
  <si>
    <t>CONTENIDO DEL LIBRO</t>
  </si>
  <si>
    <t>RF ↔ CUS</t>
  </si>
  <si>
    <t>Autenticación de administradores y vendedores mediante nombre de usuario y contraseña.</t>
  </si>
  <si>
    <t>Matriz cruzada de los 29 requisitos funcionales contra los 9 casos de uso.</t>
  </si>
  <si>
    <t>RNF ↔ CUS</t>
  </si>
  <si>
    <t>Autenticación</t>
  </si>
  <si>
    <t>Matriz cruzada de los 19 requisitos no funcionales contra los 9 casos de uso.</t>
  </si>
  <si>
    <t>PN ↔ CUS</t>
  </si>
  <si>
    <t>Relación entre los 3 procesos de negocio y los casos de uso que los automatizan.</t>
  </si>
  <si>
    <t>CUS ↔ Entrega</t>
  </si>
  <si>
    <t>Responsable, documento, rama y paquete de cada caso de uso.</t>
  </si>
  <si>
    <t>CUS ↔ Pruebas</t>
  </si>
  <si>
    <t>Casos de prueba previstos para el Hito 3, por caso de uso.</t>
  </si>
  <si>
    <t>Cobertura</t>
  </si>
  <si>
    <t>Análisis de cobertura calculado con fórmulas sobre las hojas anteriores.</t>
  </si>
  <si>
    <t>PN2</t>
  </si>
  <si>
    <t>Gestión de inventario</t>
  </si>
  <si>
    <t>RNF-02</t>
  </si>
  <si>
    <t>Conteo, reposición y control de las existencias del almacén.</t>
  </si>
  <si>
    <t>Tiempo de respuesta en reportes</t>
  </si>
  <si>
    <t>PN3</t>
  </si>
  <si>
    <t>Menos de 5 segundos para un reporte de un mes.</t>
  </si>
  <si>
    <t>Administración y análisis</t>
  </si>
  <si>
    <t>Gestión del personal del negocio y análisis de los resultados de venta.</t>
  </si>
  <si>
    <t>RNF-03</t>
  </si>
  <si>
    <t>Concurrencia</t>
  </si>
  <si>
    <t>Soporte de al menos 3 vendedores operando de forma simultánea.</t>
  </si>
  <si>
    <t>CASOS DE USO SIN PROCESO DE NEGOCIO ASOCIADO</t>
  </si>
  <si>
    <t>RNF-04</t>
  </si>
  <si>
    <t>Disponibilidad</t>
  </si>
  <si>
    <t>99 % de tiempo operativo durante el horario de atención.</t>
  </si>
  <si>
    <t>RF-02</t>
  </si>
  <si>
    <t>Cerrar sesión</t>
  </si>
  <si>
    <t>Estado de cada caso de uso →</t>
  </si>
  <si>
    <t>Cierre seguro de la sesión del usuario.</t>
  </si>
  <si>
    <t>RNF-05</t>
  </si>
  <si>
    <t>Encriptación de contraseñas</t>
  </si>
  <si>
    <t>Seguridad</t>
  </si>
  <si>
    <t>Almacenamiento de contraseñas con hash seguro (bcrypt).</t>
  </si>
  <si>
    <t>RF-03</t>
  </si>
  <si>
    <t>RNF-06</t>
  </si>
  <si>
    <t>Protección contra inyección SQL</t>
  </si>
  <si>
    <t>Control de acceso por roles</t>
  </si>
  <si>
    <t>Consultas parametrizadas o ORM en todo acceso a datos.</t>
  </si>
  <si>
    <t>Muestra únicamente las opciones que corresponden al rol del usuario autenticado.</t>
  </si>
  <si>
    <t>RNF-07</t>
  </si>
  <si>
    <t>Protección de sesiones</t>
  </si>
  <si>
    <t>Expiración automática de la sesión tras 30 minutos de inactividad.</t>
  </si>
  <si>
    <t>RF-04</t>
  </si>
  <si>
    <t>RNF-08</t>
  </si>
  <si>
    <t>Bloqueo por intentos fallidos</t>
  </si>
  <si>
    <t>Registro de auditoría</t>
  </si>
  <si>
    <t>Bloqueo temporal de 5 minutos tras 3 intentos fallidos de inicio de sesión.</t>
  </si>
  <si>
    <t>Log de cada venta con vendedor, fecha y hora.</t>
  </si>
  <si>
    <t>RNF-09</t>
  </si>
  <si>
    <t>Interfaz intuitiva</t>
  </si>
  <si>
    <t>Usabilidad</t>
  </si>
  <si>
    <t>Interfaz clara, con botones grandes y etiquetas visibles.</t>
  </si>
  <si>
    <t>RF-05</t>
  </si>
  <si>
    <t>Registrar producto</t>
  </si>
  <si>
    <t>Alta de un producto con nombre, proveedor, cantidad inicial, precio, categoría y ubicación.</t>
  </si>
  <si>
    <t>Productos</t>
  </si>
  <si>
    <t>RNF-10</t>
  </si>
  <si>
    <t>Accesibilidad desde navegadores</t>
  </si>
  <si>
    <t>Compatibilidad con versiones recientes de Chrome, Firefox y Edge.</t>
  </si>
  <si>
    <t>RF-06</t>
  </si>
  <si>
    <t>RNF-11</t>
  </si>
  <si>
    <t>Diseño responsivo</t>
  </si>
  <si>
    <t>Modificar producto</t>
  </si>
  <si>
    <t>Edición de los datos de un producto existente.</t>
  </si>
  <si>
    <t>Adaptación de la interfaz al tamaño de pantalla en tabletas.</t>
  </si>
  <si>
    <t>RNF-12</t>
  </si>
  <si>
    <t>Mensajes de error claros</t>
  </si>
  <si>
    <t>Mensajes descriptivos y orientados a la acción del usuario.</t>
  </si>
  <si>
    <t>RF-07</t>
  </si>
  <si>
    <t>Eliminar producto</t>
  </si>
  <si>
    <t>Baja del producto: física si no tiene movimientos, lógica si los tiene.</t>
  </si>
  <si>
    <t>RNF-13</t>
  </si>
  <si>
    <t>Arquitectura MVC</t>
  </si>
  <si>
    <t>Mantenibilidad</t>
  </si>
  <si>
    <t>Separación de la lógica de negocio, la interfaz y el control de flujo.</t>
  </si>
  <si>
    <t>RNF-14</t>
  </si>
  <si>
    <t>RF-08</t>
  </si>
  <si>
    <t>Código documentado</t>
  </si>
  <si>
    <t>Consultar productos</t>
  </si>
  <si>
    <t>Búsqueda de productos por nombre, categoría o proveedor.</t>
  </si>
  <si>
    <t>Comentarios y documentación básica en el código fuente.</t>
  </si>
  <si>
    <t>RNF-15</t>
  </si>
  <si>
    <t>Portabilidad</t>
  </si>
  <si>
    <t>Ejecución en servidor local Windows o Linux y, en el futuro, en la nube.</t>
  </si>
  <si>
    <t>RF-09</t>
  </si>
  <si>
    <t>Control de stock mínimo</t>
  </si>
  <si>
    <t>Definición de un stock mínimo por producto y alerta al alcanzarlo.</t>
  </si>
  <si>
    <t>RNF-16</t>
  </si>
  <si>
    <t>Integridad de datos</t>
  </si>
  <si>
    <t>Confiabilidad</t>
  </si>
  <si>
    <t>Sin stock negativo ni ventas parcialmente registradas.</t>
  </si>
  <si>
    <t>RF-10</t>
  </si>
  <si>
    <t>Realizar venta</t>
  </si>
  <si>
    <t>Registro de una venta seleccionando productos y cantidades.</t>
  </si>
  <si>
    <t>Ventas</t>
  </si>
  <si>
    <t>RNF-17</t>
  </si>
  <si>
    <t>Respaldo de información</t>
  </si>
  <si>
    <t>Mecanismo de respaldo periódico de la base de datos.</t>
  </si>
  <si>
    <t>RNF-18</t>
  </si>
  <si>
    <t>RF-11</t>
  </si>
  <si>
    <t>Interfaz web</t>
  </si>
  <si>
    <t>Cálculo automático de totales</t>
  </si>
  <si>
    <t>Interfaz</t>
  </si>
  <si>
    <t>Cálculo del subtotal, los impuestos y el total de la venta.</t>
  </si>
  <si>
    <t>Acceso mediante navegador, sin instalar software adicional.</t>
  </si>
  <si>
    <t>RNF-19</t>
  </si>
  <si>
    <t>Impresión desde navegador</t>
  </si>
  <si>
    <t>Impresión de facturas y reportes con la función nativa del navegador.</t>
  </si>
  <si>
    <t>RF-12</t>
  </si>
  <si>
    <t>Verificar stock disponible</t>
  </si>
  <si>
    <t>Validación de que la cantidad solicitada no supere el stock disponible.</t>
  </si>
  <si>
    <t>TRAZABILIDAD DE ENTREGA  ·  CASO DE USO ↔ RESPONSABLE, DOCUMENTO Y RAMA</t>
  </si>
  <si>
    <t>Origen: cronograma FMX_CDP.xlsx, actividades del Hito 1 y del Hito 2.</t>
  </si>
  <si>
    <t>RF-13</t>
  </si>
  <si>
    <t>Generar factura</t>
  </si>
  <si>
    <t>Caso de uso</t>
  </si>
  <si>
    <t>Emisión automática de la factura con número, fecha, productos, importes y vendedor.</t>
  </si>
  <si>
    <t>Nombre</t>
  </si>
  <si>
    <t>Paquete</t>
  </si>
  <si>
    <t>Documento de especificación</t>
  </si>
  <si>
    <t>Rama en GitHub</t>
  </si>
  <si>
    <t>Requisitos funcionales</t>
  </si>
  <si>
    <t>RF-14</t>
  </si>
  <si>
    <t>Castillejo Huancas</t>
  </si>
  <si>
    <t>FMX_CU1.docx</t>
  </si>
  <si>
    <t>Imprimir factura</t>
  </si>
  <si>
    <t>feature/cu_1</t>
  </si>
  <si>
    <t>Impresión de la factura generada desde el navegador.</t>
  </si>
  <si>
    <t>RF-01, RF-03, RF-04</t>
  </si>
  <si>
    <t>FMX_CU2.docx</t>
  </si>
  <si>
    <t>feature/cu_2</t>
  </si>
  <si>
    <t>RF-15</t>
  </si>
  <si>
    <t>Historial de ventas</t>
  </si>
  <si>
    <t>Registro de cada venta con fecha, hora, vendedor, productos y total, para su consulta.</t>
  </si>
  <si>
    <t>Mantener productos</t>
  </si>
  <si>
    <t>Inventario</t>
  </si>
  <si>
    <t>Mallqui Meza</t>
  </si>
  <si>
    <t>FMX_CU3.docx</t>
  </si>
  <si>
    <t>feature/cu_3</t>
  </si>
  <si>
    <t>RF-05, RF-06, RF-07, RF-08, RF-09, RF-17, RF-18, RF-19</t>
  </si>
  <si>
    <t>Registrar venta</t>
  </si>
  <si>
    <t>Cordero Alfaro</t>
  </si>
  <si>
    <t>FMX_CU4.docx</t>
  </si>
  <si>
    <t>feature/cu_4</t>
  </si>
  <si>
    <t>RF-10, RF-11, RF-12, RF-13, RF-16</t>
  </si>
  <si>
    <t>Consultar factura</t>
  </si>
  <si>
    <t>FMX_CU5.docx</t>
  </si>
  <si>
    <t>feature/cu_5</t>
  </si>
  <si>
    <t>Consultar historial de ventas</t>
  </si>
  <si>
    <t>Reportes</t>
  </si>
  <si>
    <t>RF-16</t>
  </si>
  <si>
    <t>Alegre Mayanga</t>
  </si>
  <si>
    <t>Actualización de stock por venta</t>
  </si>
  <si>
    <t>FMX_CU6.docx</t>
  </si>
  <si>
    <t>Reducción automática del stock de cada producto al confirmar la venta.</t>
  </si>
  <si>
    <t>feature/cu_6</t>
  </si>
  <si>
    <t>RF-15, RF-25</t>
  </si>
  <si>
    <t>Consultar movimientos de stock</t>
  </si>
  <si>
    <t>FMX_CU7.docx</t>
  </si>
  <si>
    <t>feature/cu_7</t>
  </si>
  <si>
    <t>RF-20</t>
  </si>
  <si>
    <t>Mantener usuarios</t>
  </si>
  <si>
    <t>Administración</t>
  </si>
  <si>
    <t>Roman Hurtado</t>
  </si>
  <si>
    <t>RF-17</t>
  </si>
  <si>
    <t>FMX_CU8.docx</t>
  </si>
  <si>
    <t>feature/cu_8</t>
  </si>
  <si>
    <t>Actualización de stock por compra</t>
  </si>
  <si>
    <t>RF-26, RF-27, RF-28, RF-29</t>
  </si>
  <si>
    <t>Incremento automático del stock al registrar una entrada por compra.</t>
  </si>
  <si>
    <t>Generar reportes de ventas</t>
  </si>
  <si>
    <t>FMX_CU9.docx</t>
  </si>
  <si>
    <t>feature/cu_9</t>
  </si>
  <si>
    <t>RF-21, RF-22, RF-23, RF-24</t>
  </si>
  <si>
    <t>RF-18</t>
  </si>
  <si>
    <t>Consultar stock actual</t>
  </si>
  <si>
    <t>Consulta del stock disponible de todos los productos o de uno específico.</t>
  </si>
  <si>
    <t>RF-19</t>
  </si>
  <si>
    <t>Imprimir lista de stock</t>
  </si>
  <si>
    <t>Reporte imprimible o exportable con el listado de productos, cantidades, precios y valor.</t>
  </si>
  <si>
    <t>Alertas de stock bajo</t>
  </si>
  <si>
    <t>Indicador visual cuando un producto tiene stock igual o inferior al mínimo.</t>
  </si>
  <si>
    <t>RF-21</t>
  </si>
  <si>
    <t>Reporte de ventas por período</t>
  </si>
  <si>
    <t>Reporte de ventas totales por día, semana, mes o rango personalizado.</t>
  </si>
  <si>
    <t>RF-22</t>
  </si>
  <si>
    <t>Ver productos más vendidos</t>
  </si>
  <si>
    <t>Gráfico de barras con los 5 productos más vendidos del rango seleccionado.</t>
  </si>
  <si>
    <t>RF-23</t>
  </si>
  <si>
    <t>Ver productos menos vendidos</t>
  </si>
  <si>
    <t>Gráfico de barras con los 5 productos menos vendidos, excluyendo los que no registran ventas.</t>
  </si>
  <si>
    <t>RF-24</t>
  </si>
  <si>
    <t>Exportar reportes</t>
  </si>
  <si>
    <t>Exportación de los reportes de ventas a PDF o CSV.</t>
  </si>
  <si>
    <t>RF-25</t>
  </si>
  <si>
    <t>Filtrar reportes por vendedor</t>
  </si>
  <si>
    <t>Filtrado de los reportes de ventas por vendedor, además del período.</t>
  </si>
  <si>
    <t>RF-26</t>
  </si>
  <si>
    <t>Registrar usuario</t>
  </si>
  <si>
    <t>Creación de usuarios con rol vendedor, asignando nombre de usuario y contraseña.</t>
  </si>
  <si>
    <t>Usuarios</t>
  </si>
  <si>
    <t>RF-27</t>
  </si>
  <si>
    <t>Eliminar usuario</t>
  </si>
  <si>
    <t>Baja lógica de un usuario, impidiendo su acceso futuro.</t>
  </si>
  <si>
    <t>RF-28</t>
  </si>
  <si>
    <t>Listar usuarios</t>
  </si>
  <si>
    <t>Listado de los usuarios registrados con su nombre y su rol.</t>
  </si>
  <si>
    <t>RF-29</t>
  </si>
  <si>
    <t>Cambiar contraseña</t>
  </si>
  <si>
    <t>Cambio de la contraseña propia por parte de cualquier usuario autenticado.</t>
  </si>
  <si>
    <t>REQUISITOS POR CASO DE USO →</t>
  </si>
  <si>
    <t>TRAZABILIDAD DE VERIFICACIÓN  ·  CASO DE USO ↔ CASOS DE PRUEBA</t>
  </si>
  <si>
    <t>Estos casos de prueba se ejecutan en el Hito 3. Registre el resultado en la columna «Resultado» (celdas de fondo amarillo).</t>
  </si>
  <si>
    <t>ID</t>
  </si>
  <si>
    <t>Escenario de prueba</t>
  </si>
  <si>
    <t>Tipo</t>
  </si>
  <si>
    <t>Resultado esperado</t>
  </si>
  <si>
    <t>Resultado</t>
  </si>
  <si>
    <t>CP-01</t>
  </si>
  <si>
    <t>Ingreso con credenciales válidas</t>
  </si>
  <si>
    <t>Funcional</t>
  </si>
  <si>
    <t>El usuario accede y el menú corresponde a su rol.</t>
  </si>
  <si>
    <t>Pendiente</t>
  </si>
  <si>
    <t>CP-02</t>
  </si>
  <si>
    <t>Ingreso con credenciales incorrectas</t>
  </si>
  <si>
    <t>Se rechaza el acceso con mensaje genérico, sin revelar qué campo falló.</t>
  </si>
  <si>
    <t>CP-03</t>
  </si>
  <si>
    <t>Bloqueo tras tres intentos fallidos</t>
  </si>
  <si>
    <t>El cuarto intento se rechaza sin validar credenciales.</t>
  </si>
  <si>
    <t>CP-04</t>
  </si>
  <si>
    <t>Acceso denegado por rol a una ruta de administración</t>
  </si>
  <si>
    <t>Un vendedor recibe error 403 al invocar la ruta directamente.</t>
  </si>
  <si>
    <t>CP-05</t>
  </si>
  <si>
    <t>Cierre de sesión e invalidación en el servidor</t>
  </si>
  <si>
    <t>Tras salir, ninguna ruta protegida responde sin autenticarse de nuevo.</t>
  </si>
  <si>
    <t>CP-06</t>
  </si>
  <si>
    <t>Expiración de la sesión por inactividad</t>
  </si>
  <si>
    <t>A los 30 minutos sin actividad la sesión se cierra automáticamente.</t>
  </si>
  <si>
    <t>CP-07</t>
  </si>
  <si>
    <t>Alta de producto con movimiento de entrada</t>
  </si>
  <si>
    <t>El producto queda activo y se registra su movimiento de stock.</t>
  </si>
  <si>
    <t>CP-08</t>
  </si>
  <si>
    <t>Baja lógica de un producto con ventas asociadas</t>
  </si>
  <si>
    <t>El producto se desactiva y conserva su historial.</t>
  </si>
  <si>
    <t>CP-09</t>
  </si>
  <si>
    <t>Rechazo de producto duplicado</t>
  </si>
  <si>
    <t>No se admite otro producto activo con el mismo nombre y proveedor.</t>
  </si>
  <si>
    <t>CP-10</t>
  </si>
  <si>
    <t>Alerta al quedar por debajo del stock mínimo</t>
  </si>
  <si>
    <t>El producto aparece marcado como stock bajo.</t>
  </si>
  <si>
    <t>CP-11</t>
  </si>
  <si>
    <t>Venta de varios productos con cálculo de IGV</t>
  </si>
  <si>
    <t>Subtotal, IGV del 18 % y total correctos, redondeados a dos decimales.</t>
  </si>
  <si>
    <t>CP-12</t>
  </si>
  <si>
    <t>Rechazo por stock insuficiente</t>
  </si>
  <si>
    <t>La venta no se registra y se indica la cantidad máxima disponible.</t>
  </si>
  <si>
    <t>CP-13</t>
  </si>
  <si>
    <t>Reversión completa ante fallo al emitir la factura</t>
  </si>
  <si>
    <t>Integración</t>
  </si>
  <si>
    <t>No queda venta, ni detalle, ni descuento de stock.</t>
  </si>
  <si>
    <t>CP-14</t>
  </si>
  <si>
    <t>Venta simultánea de la última unidad</t>
  </si>
  <si>
    <t>Solo una venta prospera y el stock final nunca queda negativo.</t>
  </si>
  <si>
    <t>CP-15</t>
  </si>
  <si>
    <t>Numeración correlativa de facturas</t>
  </si>
  <si>
    <t>Los números son consecutivos, únicos y sin saltos.</t>
  </si>
  <si>
    <t>CP-16</t>
  </si>
  <si>
    <t>Visualización e impresión de la factura</t>
  </si>
  <si>
    <t>La factura muestra encabezado, detalle e importes, y es imprimible.</t>
  </si>
  <si>
    <t>CP-17</t>
  </si>
  <si>
    <t>Precio congelado tras un cambio de tarifa</t>
  </si>
  <si>
    <t>La factura conserva el precio cobrado en el momento de la venta.</t>
  </si>
  <si>
    <t>CP-18</t>
  </si>
  <si>
    <t>Alcance del historial según el rol</t>
  </si>
  <si>
    <t>El vendedor solo visualiza las ventas que él registró.</t>
  </si>
  <si>
    <t>CP-19</t>
  </si>
  <si>
    <t>Filtrado por rango de fechas y vendedor</t>
  </si>
  <si>
    <t>El listado refleja únicamente las ventas que cumplen el filtro.</t>
  </si>
  <si>
    <t>CP-20</t>
  </si>
  <si>
    <t>Trazabilidad de un movimiento de venta</t>
  </si>
  <si>
    <t>Cada venta genera su movimiento de salida con producto, cantidad y responsable.</t>
  </si>
  <si>
    <t>CP-21</t>
  </si>
  <si>
    <t>Filtrado de la bitácora por tipo y fecha</t>
  </si>
  <si>
    <t>Se listan solo los movimientos que cumplen los criterios.</t>
  </si>
  <si>
    <t>CP-22</t>
  </si>
  <si>
    <t>Alta de usuario con contraseña hasheada</t>
  </si>
  <si>
    <t>La contraseña se almacena como hash, nunca en texto plano.</t>
  </si>
  <si>
    <t>CP-23</t>
  </si>
  <si>
    <t>Rechazo de nombre de usuario duplicado</t>
  </si>
  <si>
    <t>No se admiten dos usuarios con el mismo nombre.</t>
  </si>
  <si>
    <t>CP-24</t>
  </si>
  <si>
    <t>Impedimento de autodesactivación</t>
  </si>
  <si>
    <t>El administrador no puede desactivar ni degradar su propia cuenta.</t>
  </si>
  <si>
    <t>CP-25</t>
  </si>
  <si>
    <t>Baja lógica sin pérdida de historial</t>
  </si>
  <si>
    <t>El usuario desactivado no accede, pero sigue asociado a sus ventas.</t>
  </si>
  <si>
    <t>CP-26</t>
  </si>
  <si>
    <t>Cálculo de indicadores del periodo</t>
  </si>
  <si>
    <t>Ingresos, ganancia, número de ventas y ticket promedio correctos.</t>
  </si>
  <si>
    <t>CP-27</t>
  </si>
  <si>
    <t>Ganancia calculada con costo congelado</t>
  </si>
  <si>
    <t>El margen usa el precio y el costo vigentes al momento de la venta.</t>
  </si>
  <si>
    <t>CP-28</t>
  </si>
  <si>
    <t>Gráficos de rotación de productos</t>
  </si>
  <si>
    <t>Se muestran los cinco más y los cinco menos vendidos, excluyendo los sin ventas.</t>
  </si>
  <si>
    <t>CP-29</t>
  </si>
  <si>
    <t>Reporte mensual dentro del límite de tiempo</t>
  </si>
  <si>
    <t>El reporte de un mes se genera en menos de 5 segundos.</t>
  </si>
  <si>
    <t>ANÁLISIS DE COBERTURA DE LA TRAZABILIDAD</t>
  </si>
  <si>
    <t>Todos los valores se calculan con fórmulas sobre las hojas anteriores: si cambia la matriz, cambian solos.</t>
  </si>
  <si>
    <t>Indicador</t>
  </si>
  <si>
    <t>Valor</t>
  </si>
  <si>
    <t>Lectura</t>
  </si>
  <si>
    <t>Requisitos funcionales especificados</t>
  </si>
  <si>
    <t>Total de RF declarados en la documentación del sistema.</t>
  </si>
  <si>
    <t>Requisitos funcionales con caso de uso asignado</t>
  </si>
  <si>
    <t>RF que tienen al menos una realización principal (X).</t>
  </si>
  <si>
    <t>Requisitos funcionales sin cobertura</t>
  </si>
  <si>
    <t>Debe ser 0. Cualquier otro valor señala un RF que nadie implementa.</t>
  </si>
  <si>
    <t>Cobertura de requisitos funcionales</t>
  </si>
  <si>
    <t>Porcentaje de RF cubiertos por algún caso de uso.</t>
  </si>
  <si>
    <t>Casos de uso especificados</t>
  </si>
  <si>
    <t>Total de CUS del sistema.</t>
  </si>
  <si>
    <t>Casos de uso sin requisito funcional asociado</t>
  </si>
  <si>
    <t>Debe ser 0. Un CUS sin RF es funcionalidad que nadie pidió.</t>
  </si>
  <si>
    <t>Requisitos no funcionales especificados</t>
  </si>
  <si>
    <t>Total de RNF declarados en la documentación.</t>
  </si>
  <si>
    <t>Requisitos no funcionales sin caso de uso asociado</t>
  </si>
  <si>
    <t>RNF que no restringen ningún CUS en concreto.</t>
  </si>
  <si>
    <t>Procesos de negocio modelados</t>
  </si>
  <si>
    <t>Procesos AS-IS levantados en el Documento de Negocio.</t>
  </si>
  <si>
    <t>Casos de prueba previstos</t>
  </si>
  <si>
    <t>Casos de prueba diseñados para el Hito 3.</t>
  </si>
  <si>
    <t>Casos de prueba conformes</t>
  </si>
  <si>
    <t>Se actualiza al registrar los resultados en la hoja «CUS ↔ Pruebas».</t>
  </si>
  <si>
    <t>Avance de la verificación</t>
  </si>
  <si>
    <t>Porcentaje de casos de prueba con resultado conforme.</t>
  </si>
  <si>
    <t>REQUISITOS FUNCIONALES POR CASO DE USO</t>
  </si>
  <si>
    <t>Nº de RF</t>
  </si>
  <si>
    <t>Requisitos funcionales que realiza</t>
  </si>
  <si>
    <t>CUS-01 — Iniciar sesión</t>
  </si>
  <si>
    <t>CUS-02 — Cerrar sesión</t>
  </si>
  <si>
    <t>CUS-03 — Mantener productos</t>
  </si>
  <si>
    <t>CUS-04 — Registrar venta</t>
  </si>
  <si>
    <t>CUS-05 — Consultar factura</t>
  </si>
  <si>
    <t>CUS-06 — Consultar historial de ventas</t>
  </si>
  <si>
    <t>CUS-07 — Consultar movimientos de stock</t>
  </si>
  <si>
    <t>CUS-08 — Mantener usuarios</t>
  </si>
  <si>
    <t>CUS-09 — Generar reportes de ventas</t>
  </si>
  <si>
    <t>Nota: la columna «Nº de RF» cuenta solo las realizaciones principales (X). Las participaciones de soporte (o) no se suman aquí para no contar dos veces un mismo requisito.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</si>
</sst>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i/>
      <sz val="9.0"/>
      <color rgb="FF595959"/>
      <name val="Arial"/>
    </font>
    <font>
      <b/>
      <sz val="9.0"/>
      <color rgb="FFFFFFFF"/>
      <name val="Arial"/>
    </font>
    <font>
      <b/>
      <sz val="11.0"/>
      <color rgb="FF1F3864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b/>
      <sz val="10.0"/>
      <color rgb="FF1F2733"/>
      <name val="Arial"/>
    </font>
    <font>
      <sz val="9.0"/>
      <color theme="1"/>
      <name val="Arial"/>
    </font>
    <font>
      <sz val="11.0"/>
      <color theme="1"/>
      <name val="Calibri"/>
    </font>
    <font>
      <b/>
      <sz val="10.0"/>
      <color rgb="FF1F3864"/>
      <name val="Arial"/>
    </font>
    <font>
      <b/>
      <sz val="9.0"/>
      <color rgb="FF1F2733"/>
      <name val="Arial"/>
    </font>
    <font>
      <b/>
      <sz val="9.0"/>
      <color rgb="FF1F3864"/>
      <name val="Arial"/>
    </font>
    <font>
      <sz val="9.0"/>
      <color rgb="FF59595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1F3864"/>
        <bgColor rgb="FF1F3864"/>
      </patternFill>
    </fill>
    <fill>
      <patternFill patternType="solid">
        <fgColor rgb="FF2E5AA8"/>
        <bgColor rgb="FF2E5AA8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5F8FD"/>
        <bgColor rgb="FFF5F8FD"/>
      </patternFill>
    </fill>
    <fill>
      <patternFill patternType="solid">
        <fgColor rgb="FFD8F0E4"/>
        <bgColor rgb="FFD8F0E4"/>
      </patternFill>
    </fill>
    <fill>
      <patternFill patternType="solid">
        <fgColor rgb="FFFFF4D6"/>
        <bgColor rgb="FFFFF4D6"/>
      </patternFill>
    </fill>
  </fills>
  <borders count="4">
    <border/>
    <border>
      <left/>
      <top/>
      <bottom/>
    </border>
    <border>
      <top/>
      <bottom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quotePrefix="1"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3" fillId="3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3" fontId="6" numFmtId="0" xfId="0" applyAlignment="1" applyBorder="1" applyFill="1" applyFont="1">
      <alignment horizontal="center" shrinkToFit="0" textRotation="90" vertical="center" wrapText="1"/>
    </xf>
    <xf borderId="3" fillId="4" fontId="8" numFmtId="0" xfId="0" applyAlignment="1" applyBorder="1" applyFill="1" applyFont="1">
      <alignment horizontal="center" shrinkToFit="0" vertical="center" wrapText="0"/>
    </xf>
    <xf borderId="3" fillId="0" fontId="9" numFmtId="0" xfId="0" applyAlignment="1" applyBorder="1" applyFont="1">
      <alignment horizontal="left" shrinkToFit="0" vertical="center" wrapText="0"/>
    </xf>
    <xf borderId="3" fillId="5" fontId="10" numFmtId="0" xfId="0" applyAlignment="1" applyBorder="1" applyFill="1" applyFont="1">
      <alignment horizontal="center" shrinkToFit="0" vertical="center" wrapText="0"/>
    </xf>
    <xf borderId="3" fillId="0" fontId="11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left" shrinkToFit="0" vertical="center" wrapText="0"/>
    </xf>
    <xf borderId="3" fillId="6" fontId="10" numFmtId="0" xfId="0" applyAlignment="1" applyBorder="1" applyFill="1" applyFont="1">
      <alignment horizontal="center" shrinkToFit="0" vertical="center" wrapText="0"/>
    </xf>
    <xf borderId="3" fillId="0" fontId="12" numFmtId="0" xfId="0" applyAlignment="1" applyBorder="1" applyFont="1">
      <alignment horizontal="center" shrinkToFit="0" vertical="center" wrapText="0"/>
    </xf>
    <xf borderId="3" fillId="4" fontId="6" numFmtId="0" xfId="0" applyAlignment="1" applyBorder="1" applyFill="1" applyFont="1">
      <alignment horizontal="center" shrinkToFit="0" vertical="center" wrapText="0"/>
    </xf>
    <xf borderId="3" fillId="0" fontId="11" numFmtId="0" xfId="0" applyAlignment="1" applyBorder="1" applyFont="1">
      <alignment horizontal="center" shrinkToFit="0" vertical="center" wrapText="0"/>
    </xf>
    <xf borderId="3" fillId="7" fontId="9" numFmtId="0" xfId="0" applyAlignment="1" applyBorder="1" applyFill="1" applyFont="1">
      <alignment horizontal="left" shrinkToFit="0" vertical="center" wrapText="0"/>
    </xf>
    <xf borderId="3" fillId="7" fontId="11" numFmtId="0" xfId="0" applyAlignment="1" applyBorder="1" applyFill="1" applyFont="1">
      <alignment horizontal="left" shrinkToFit="0" vertical="center" wrapText="1"/>
    </xf>
    <xf borderId="3" fillId="7" fontId="11" numFmtId="0" xfId="0" applyAlignment="1" applyBorder="1" applyFill="1" applyFont="1">
      <alignment horizontal="left"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3" fillId="5" fontId="14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horizontal="right" shrinkToFit="0" vertical="bottom" wrapText="0"/>
    </xf>
    <xf borderId="3" fillId="0" fontId="11" numFmtId="0" xfId="0" applyAlignment="1" applyBorder="1" applyFont="1">
      <alignment horizontal="left" readingOrder="0" shrinkToFit="0" vertical="center" wrapText="0"/>
    </xf>
    <xf borderId="3" fillId="7" fontId="11" numFmtId="0" xfId="0" applyAlignment="1" applyBorder="1" applyFill="1" applyFont="1">
      <alignment horizontal="left" readingOrder="0" shrinkToFit="0" vertical="center" wrapText="0"/>
    </xf>
    <xf borderId="3" fillId="7" fontId="11" numFmtId="0" xfId="0" applyAlignment="1" applyBorder="1" applyFill="1" applyFont="1">
      <alignment horizontal="left" readingOrder="0" shrinkToFit="0" vertical="center" wrapText="0"/>
    </xf>
    <xf borderId="3" fillId="0" fontId="11" numFmtId="0" xfId="0" applyAlignment="1" applyBorder="1" applyFont="1">
      <alignment horizontal="left" readingOrder="0" shrinkToFit="0" vertical="center" wrapText="0"/>
    </xf>
    <xf borderId="0" fillId="0" fontId="15" numFmtId="0" xfId="0" applyAlignment="1" applyFont="1">
      <alignment horizontal="right" shrinkToFit="0" vertical="center" wrapText="0"/>
    </xf>
    <xf borderId="3" fillId="8" fontId="15" numFmtId="0" xfId="0" applyAlignment="1" applyBorder="1" applyFill="1" applyFont="1">
      <alignment horizontal="center" shrinkToFit="0" vertical="center" wrapText="0"/>
    </xf>
    <xf borderId="3" fillId="8" fontId="15" numFmtId="0" xfId="0" applyAlignment="1" applyBorder="1" applyFill="1" applyFont="1">
      <alignment horizontal="center" shrinkToFit="0" vertical="bottom" wrapText="0"/>
    </xf>
    <xf borderId="3" fillId="9" fontId="11" numFmtId="0" xfId="0" applyAlignment="1" applyBorder="1" applyFill="1" applyFont="1">
      <alignment horizontal="center" shrinkToFit="0" vertical="center" wrapText="0"/>
    </xf>
    <xf borderId="3" fillId="7" fontId="9" numFmtId="0" xfId="0" applyAlignment="1" applyBorder="1" applyFill="1" applyFont="1">
      <alignment horizontal="center" shrinkToFit="0" vertical="center" wrapText="0"/>
    </xf>
    <xf borderId="3" fillId="7" fontId="11" numFmtId="0" xfId="0" applyAlignment="1" applyBorder="1" applyFill="1" applyFont="1">
      <alignment horizontal="center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3" fillId="8" fontId="3" numFmtId="1" xfId="0" applyAlignment="1" applyBorder="1" applyFill="1" applyFont="1" applyNumberFormat="1">
      <alignment horizontal="center" shrinkToFit="0" vertical="center" wrapText="0"/>
    </xf>
    <xf borderId="3" fillId="0" fontId="16" numFmtId="0" xfId="0" applyAlignment="1" applyBorder="1" applyFont="1">
      <alignment horizontal="left" shrinkToFit="0" vertical="center" wrapText="1"/>
    </xf>
    <xf borderId="3" fillId="8" fontId="3" numFmtId="164" xfId="0" applyAlignment="1" applyBorder="1" applyFill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62.0"/>
    <col customWidth="1" min="4" max="5" width="18.0"/>
    <col customWidth="1" min="6" max="6" width="14.0"/>
  </cols>
  <sheetData>
    <row r="1" ht="24.0" customHeight="1">
      <c r="B1" s="1" t="s">
        <v>0</v>
      </c>
      <c r="C1" s="2"/>
      <c r="D1" s="2"/>
      <c r="E1" s="2"/>
    </row>
    <row r="3">
      <c r="B3" s="3" t="s">
        <v>4</v>
      </c>
      <c r="C3" s="4" t="s">
        <v>5</v>
      </c>
    </row>
    <row r="4">
      <c r="B4" s="3" t="s">
        <v>6</v>
      </c>
      <c r="C4" s="5" t="s">
        <v>7</v>
      </c>
    </row>
    <row r="5">
      <c r="B5" s="3" t="s">
        <v>8</v>
      </c>
      <c r="C5" s="4" t="s">
        <v>10</v>
      </c>
    </row>
    <row r="6">
      <c r="B6" s="3" t="s">
        <v>11</v>
      </c>
      <c r="C6" s="4" t="s">
        <v>12</v>
      </c>
    </row>
    <row r="7">
      <c r="B7" s="3" t="s">
        <v>13</v>
      </c>
      <c r="C7" s="4" t="s">
        <v>14</v>
      </c>
    </row>
    <row r="8">
      <c r="B8" s="3" t="s">
        <v>15</v>
      </c>
      <c r="C8" s="4" t="s">
        <v>17</v>
      </c>
    </row>
    <row r="9">
      <c r="B9" s="3" t="s">
        <v>18</v>
      </c>
      <c r="C9" s="4" t="s">
        <v>19</v>
      </c>
    </row>
    <row r="10">
      <c r="B10" s="3" t="s">
        <v>20</v>
      </c>
      <c r="C10" s="4" t="s">
        <v>21</v>
      </c>
    </row>
    <row r="11">
      <c r="B11" s="3" t="s">
        <v>23</v>
      </c>
      <c r="C11" s="4" t="s">
        <v>24</v>
      </c>
    </row>
    <row r="12">
      <c r="B12" s="3" t="s">
        <v>25</v>
      </c>
      <c r="C12" s="4" t="s">
        <v>27</v>
      </c>
    </row>
    <row r="14">
      <c r="B14" s="8" t="s">
        <v>30</v>
      </c>
    </row>
    <row r="15">
      <c r="B15" s="9" t="s">
        <v>33</v>
      </c>
    </row>
    <row r="16">
      <c r="B16" s="9" t="s">
        <v>38</v>
      </c>
    </row>
    <row r="17">
      <c r="B17" s="9" t="s">
        <v>39</v>
      </c>
    </row>
    <row r="18">
      <c r="B18" s="9" t="s">
        <v>42</v>
      </c>
    </row>
    <row r="19">
      <c r="B19" s="9" t="s">
        <v>44</v>
      </c>
    </row>
    <row r="21" ht="15.75" customHeight="1">
      <c r="B21" s="8" t="s">
        <v>47</v>
      </c>
    </row>
    <row r="22" ht="15.75" customHeight="1">
      <c r="B22" s="11" t="s">
        <v>50</v>
      </c>
      <c r="C22" s="9" t="s">
        <v>53</v>
      </c>
    </row>
    <row r="23" ht="15.75" customHeight="1">
      <c r="B23" s="13" t="s">
        <v>56</v>
      </c>
      <c r="C23" s="9" t="s">
        <v>60</v>
      </c>
    </row>
    <row r="24" ht="15.75" customHeight="1">
      <c r="B24" s="16"/>
      <c r="C24" s="9" t="s">
        <v>66</v>
      </c>
    </row>
    <row r="25" ht="15.75" customHeight="1"/>
    <row r="26" ht="15.75" customHeight="1">
      <c r="B26" s="8" t="s">
        <v>67</v>
      </c>
    </row>
    <row r="27" ht="15.75" customHeight="1">
      <c r="B27" s="3" t="s">
        <v>68</v>
      </c>
      <c r="C27" s="9" t="s">
        <v>70</v>
      </c>
    </row>
    <row r="28" ht="15.75" customHeight="1">
      <c r="B28" s="3" t="s">
        <v>71</v>
      </c>
      <c r="C28" s="9" t="s">
        <v>73</v>
      </c>
    </row>
    <row r="29" ht="15.75" customHeight="1">
      <c r="B29" s="3" t="s">
        <v>74</v>
      </c>
      <c r="C29" s="9" t="s">
        <v>75</v>
      </c>
    </row>
    <row r="30" ht="15.75" customHeight="1">
      <c r="B30" s="3" t="s">
        <v>76</v>
      </c>
      <c r="C30" s="9" t="s">
        <v>77</v>
      </c>
    </row>
    <row r="31" ht="15.75" customHeight="1">
      <c r="B31" s="3" t="s">
        <v>78</v>
      </c>
      <c r="C31" s="9" t="s">
        <v>79</v>
      </c>
    </row>
    <row r="32" ht="15.75" customHeight="1">
      <c r="B32" s="3" t="s">
        <v>80</v>
      </c>
      <c r="C32" s="9" t="s">
        <v>81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E1"/>
    <mergeCell ref="B15:F15"/>
    <mergeCell ref="B16:F16"/>
    <mergeCell ref="B17:F17"/>
    <mergeCell ref="B18:F18"/>
    <mergeCell ref="B19:F19"/>
  </mergeCells>
  <printOptions horizontalCentered="1"/>
  <pageMargins bottom="0.4" footer="0.0" header="0.0" left="0.3" right="0.3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3.0"/>
    <col customWidth="1" min="2" max="2" width="11.0"/>
    <col customWidth="1" min="3" max="3" width="34.0"/>
    <col customWidth="1" min="4" max="4" width="52.0"/>
    <col customWidth="1" min="5" max="5" width="14.0"/>
    <col customWidth="1" min="6" max="14" width="8.43"/>
    <col customWidth="1" min="15" max="15" width="12.0"/>
    <col customWidth="1" min="16" max="16" width="13.0"/>
  </cols>
  <sheetData>
    <row r="1" ht="24.0" customHeight="1"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B2" s="6" t="s">
        <v>16</v>
      </c>
    </row>
    <row r="4" ht="45.75" customHeight="1">
      <c r="B4" s="7" t="s">
        <v>22</v>
      </c>
      <c r="C4" s="7" t="s">
        <v>29</v>
      </c>
      <c r="D4" s="7" t="s">
        <v>31</v>
      </c>
      <c r="E4" s="7" t="s">
        <v>32</v>
      </c>
      <c r="F4" s="10" t="s">
        <v>34</v>
      </c>
      <c r="G4" s="10" t="s">
        <v>40</v>
      </c>
      <c r="H4" s="10" t="s">
        <v>41</v>
      </c>
      <c r="I4" s="10" t="s">
        <v>43</v>
      </c>
      <c r="J4" s="10" t="s">
        <v>45</v>
      </c>
      <c r="K4" s="10" t="s">
        <v>46</v>
      </c>
      <c r="L4" s="10" t="s">
        <v>48</v>
      </c>
      <c r="M4" s="10" t="s">
        <v>49</v>
      </c>
      <c r="N4" s="10" t="s">
        <v>51</v>
      </c>
      <c r="O4" s="7" t="s">
        <v>52</v>
      </c>
      <c r="P4" s="7" t="s">
        <v>57</v>
      </c>
    </row>
    <row r="5">
      <c r="B5" s="12" t="s">
        <v>58</v>
      </c>
      <c r="C5" s="14" t="s">
        <v>61</v>
      </c>
      <c r="D5" s="14" t="s">
        <v>69</v>
      </c>
      <c r="E5" s="15" t="s">
        <v>72</v>
      </c>
      <c r="F5" s="18" t="s">
        <v>50</v>
      </c>
      <c r="G5" s="17"/>
      <c r="H5" s="17"/>
      <c r="I5" s="17"/>
      <c r="J5" s="17"/>
      <c r="K5" s="17"/>
      <c r="L5" s="17"/>
      <c r="M5" s="17"/>
      <c r="N5" s="17"/>
      <c r="O5" s="19">
        <f t="shared" ref="O5:O33" si="1">COUNTIF(F5:N5,"X")+COUNTIF(F5:N5,"o")</f>
        <v>1</v>
      </c>
      <c r="P5" s="23" t="str">
        <f t="shared" ref="P5:P33" si="2">IF(COUNTIF(F5:N5,"X")=0,"SIN COBERTURA","Cubierto")</f>
        <v>Cubierto</v>
      </c>
    </row>
    <row r="6">
      <c r="B6" s="20" t="s">
        <v>98</v>
      </c>
      <c r="C6" s="21" t="s">
        <v>99</v>
      </c>
      <c r="D6" s="21" t="s">
        <v>101</v>
      </c>
      <c r="E6" s="22" t="s">
        <v>72</v>
      </c>
      <c r="F6" s="17"/>
      <c r="G6" s="18" t="s">
        <v>50</v>
      </c>
      <c r="H6" s="17"/>
      <c r="I6" s="17"/>
      <c r="J6" s="17"/>
      <c r="K6" s="17"/>
      <c r="L6" s="17"/>
      <c r="M6" s="17"/>
      <c r="N6" s="17"/>
      <c r="O6" s="19">
        <f t="shared" si="1"/>
        <v>1</v>
      </c>
      <c r="P6" s="23" t="str">
        <f t="shared" si="2"/>
        <v>Cubierto</v>
      </c>
    </row>
    <row r="7">
      <c r="B7" s="12" t="s">
        <v>106</v>
      </c>
      <c r="C7" s="14" t="s">
        <v>109</v>
      </c>
      <c r="D7" s="14" t="s">
        <v>111</v>
      </c>
      <c r="E7" s="15" t="s">
        <v>72</v>
      </c>
      <c r="F7" s="18" t="s">
        <v>50</v>
      </c>
      <c r="G7" s="17"/>
      <c r="H7" s="25" t="s">
        <v>56</v>
      </c>
      <c r="I7" s="25" t="s">
        <v>56</v>
      </c>
      <c r="J7" s="25" t="s">
        <v>56</v>
      </c>
      <c r="K7" s="25" t="s">
        <v>56</v>
      </c>
      <c r="L7" s="25" t="s">
        <v>56</v>
      </c>
      <c r="M7" s="25" t="s">
        <v>56</v>
      </c>
      <c r="N7" s="25" t="s">
        <v>56</v>
      </c>
      <c r="O7" s="19">
        <f t="shared" si="1"/>
        <v>8</v>
      </c>
      <c r="P7" s="23" t="str">
        <f t="shared" si="2"/>
        <v>Cubierto</v>
      </c>
    </row>
    <row r="8">
      <c r="B8" s="20" t="s">
        <v>115</v>
      </c>
      <c r="C8" s="21" t="s">
        <v>117</v>
      </c>
      <c r="D8" s="21" t="s">
        <v>119</v>
      </c>
      <c r="E8" s="22" t="s">
        <v>72</v>
      </c>
      <c r="F8" s="18" t="s">
        <v>50</v>
      </c>
      <c r="G8" s="17"/>
      <c r="H8" s="17"/>
      <c r="I8" s="17"/>
      <c r="J8" s="17"/>
      <c r="K8" s="17"/>
      <c r="L8" s="17"/>
      <c r="M8" s="17"/>
      <c r="N8" s="17"/>
      <c r="O8" s="19">
        <f t="shared" si="1"/>
        <v>1</v>
      </c>
      <c r="P8" s="23" t="str">
        <f t="shared" si="2"/>
        <v>Cubierto</v>
      </c>
    </row>
    <row r="9">
      <c r="B9" s="12" t="s">
        <v>125</v>
      </c>
      <c r="C9" s="14" t="s">
        <v>126</v>
      </c>
      <c r="D9" s="14" t="s">
        <v>127</v>
      </c>
      <c r="E9" s="15" t="s">
        <v>128</v>
      </c>
      <c r="F9" s="17"/>
      <c r="G9" s="17"/>
      <c r="H9" s="18" t="s">
        <v>50</v>
      </c>
      <c r="I9" s="17"/>
      <c r="J9" s="17"/>
      <c r="K9" s="17"/>
      <c r="L9" s="17"/>
      <c r="M9" s="17"/>
      <c r="N9" s="17"/>
      <c r="O9" s="19">
        <f t="shared" si="1"/>
        <v>1</v>
      </c>
      <c r="P9" s="23" t="str">
        <f t="shared" si="2"/>
        <v>Cubierto</v>
      </c>
    </row>
    <row r="10">
      <c r="B10" s="20" t="s">
        <v>132</v>
      </c>
      <c r="C10" s="21" t="s">
        <v>135</v>
      </c>
      <c r="D10" s="21" t="s">
        <v>136</v>
      </c>
      <c r="E10" s="22" t="s">
        <v>128</v>
      </c>
      <c r="F10" s="17"/>
      <c r="G10" s="17"/>
      <c r="H10" s="18" t="s">
        <v>50</v>
      </c>
      <c r="I10" s="17"/>
      <c r="J10" s="17"/>
      <c r="K10" s="17"/>
      <c r="L10" s="17"/>
      <c r="M10" s="17"/>
      <c r="N10" s="17"/>
      <c r="O10" s="19">
        <f t="shared" si="1"/>
        <v>1</v>
      </c>
      <c r="P10" s="23" t="str">
        <f t="shared" si="2"/>
        <v>Cubierto</v>
      </c>
    </row>
    <row r="11">
      <c r="B11" s="12" t="s">
        <v>141</v>
      </c>
      <c r="C11" s="14" t="s">
        <v>142</v>
      </c>
      <c r="D11" s="14" t="s">
        <v>143</v>
      </c>
      <c r="E11" s="15" t="s">
        <v>128</v>
      </c>
      <c r="F11" s="17"/>
      <c r="G11" s="17"/>
      <c r="H11" s="18" t="s">
        <v>50</v>
      </c>
      <c r="I11" s="17"/>
      <c r="J11" s="17"/>
      <c r="K11" s="17"/>
      <c r="L11" s="17"/>
      <c r="M11" s="17"/>
      <c r="N11" s="17"/>
      <c r="O11" s="19">
        <f t="shared" si="1"/>
        <v>1</v>
      </c>
      <c r="P11" s="23" t="str">
        <f t="shared" si="2"/>
        <v>Cubierto</v>
      </c>
    </row>
    <row r="12">
      <c r="B12" s="20" t="s">
        <v>149</v>
      </c>
      <c r="C12" s="21" t="s">
        <v>151</v>
      </c>
      <c r="D12" s="21" t="s">
        <v>152</v>
      </c>
      <c r="E12" s="22" t="s">
        <v>128</v>
      </c>
      <c r="F12" s="17"/>
      <c r="G12" s="17"/>
      <c r="H12" s="18" t="s">
        <v>50</v>
      </c>
      <c r="I12" s="25" t="s">
        <v>56</v>
      </c>
      <c r="J12" s="17"/>
      <c r="K12" s="17"/>
      <c r="L12" s="17"/>
      <c r="M12" s="17"/>
      <c r="N12" s="17"/>
      <c r="O12" s="19">
        <f t="shared" si="1"/>
        <v>2</v>
      </c>
      <c r="P12" s="23" t="str">
        <f t="shared" si="2"/>
        <v>Cubierto</v>
      </c>
    </row>
    <row r="13">
      <c r="B13" s="12" t="s">
        <v>157</v>
      </c>
      <c r="C13" s="14" t="s">
        <v>158</v>
      </c>
      <c r="D13" s="14" t="s">
        <v>159</v>
      </c>
      <c r="E13" s="15" t="s">
        <v>128</v>
      </c>
      <c r="F13" s="17"/>
      <c r="G13" s="17"/>
      <c r="H13" s="18" t="s">
        <v>50</v>
      </c>
      <c r="I13" s="17"/>
      <c r="J13" s="17"/>
      <c r="K13" s="17"/>
      <c r="L13" s="25" t="s">
        <v>56</v>
      </c>
      <c r="M13" s="17"/>
      <c r="N13" s="17"/>
      <c r="O13" s="19">
        <f t="shared" si="1"/>
        <v>2</v>
      </c>
      <c r="P13" s="23" t="str">
        <f t="shared" si="2"/>
        <v>Cubierto</v>
      </c>
    </row>
    <row r="14">
      <c r="B14" s="20" t="s">
        <v>164</v>
      </c>
      <c r="C14" s="21" t="s">
        <v>165</v>
      </c>
      <c r="D14" s="21" t="s">
        <v>166</v>
      </c>
      <c r="E14" s="22" t="s">
        <v>167</v>
      </c>
      <c r="F14" s="17"/>
      <c r="G14" s="17"/>
      <c r="H14" s="17"/>
      <c r="I14" s="18" t="s">
        <v>50</v>
      </c>
      <c r="J14" s="17"/>
      <c r="K14" s="17"/>
      <c r="L14" s="17"/>
      <c r="M14" s="17"/>
      <c r="N14" s="17"/>
      <c r="O14" s="19">
        <f t="shared" si="1"/>
        <v>1</v>
      </c>
      <c r="P14" s="23" t="str">
        <f t="shared" si="2"/>
        <v>Cubierto</v>
      </c>
    </row>
    <row r="15">
      <c r="B15" s="12" t="s">
        <v>172</v>
      </c>
      <c r="C15" s="14" t="s">
        <v>174</v>
      </c>
      <c r="D15" s="14" t="s">
        <v>176</v>
      </c>
      <c r="E15" s="15" t="s">
        <v>167</v>
      </c>
      <c r="F15" s="17"/>
      <c r="G15" s="17"/>
      <c r="H15" s="17"/>
      <c r="I15" s="18" t="s">
        <v>50</v>
      </c>
      <c r="J15" s="25" t="s">
        <v>56</v>
      </c>
      <c r="K15" s="17"/>
      <c r="L15" s="17"/>
      <c r="M15" s="17"/>
      <c r="N15" s="17"/>
      <c r="O15" s="19">
        <f t="shared" si="1"/>
        <v>2</v>
      </c>
      <c r="P15" s="23" t="str">
        <f t="shared" si="2"/>
        <v>Cubierto</v>
      </c>
    </row>
    <row r="16">
      <c r="B16" s="20" t="s">
        <v>181</v>
      </c>
      <c r="C16" s="21" t="s">
        <v>182</v>
      </c>
      <c r="D16" s="21" t="s">
        <v>183</v>
      </c>
      <c r="E16" s="22" t="s">
        <v>167</v>
      </c>
      <c r="F16" s="17"/>
      <c r="G16" s="17"/>
      <c r="H16" s="25" t="s">
        <v>56</v>
      </c>
      <c r="I16" s="18" t="s">
        <v>50</v>
      </c>
      <c r="J16" s="17"/>
      <c r="K16" s="17"/>
      <c r="L16" s="17"/>
      <c r="M16" s="17"/>
      <c r="N16" s="17"/>
      <c r="O16" s="19">
        <f t="shared" si="1"/>
        <v>2</v>
      </c>
      <c r="P16" s="23" t="str">
        <f t="shared" si="2"/>
        <v>Cubierto</v>
      </c>
    </row>
    <row r="17">
      <c r="B17" s="12" t="s">
        <v>186</v>
      </c>
      <c r="C17" s="14" t="s">
        <v>187</v>
      </c>
      <c r="D17" s="14" t="s">
        <v>189</v>
      </c>
      <c r="E17" s="15" t="s">
        <v>167</v>
      </c>
      <c r="F17" s="17"/>
      <c r="G17" s="17"/>
      <c r="H17" s="17"/>
      <c r="I17" s="18" t="s">
        <v>50</v>
      </c>
      <c r="J17" s="25" t="s">
        <v>56</v>
      </c>
      <c r="K17" s="17"/>
      <c r="L17" s="17"/>
      <c r="M17" s="17"/>
      <c r="N17" s="17"/>
      <c r="O17" s="19">
        <f t="shared" si="1"/>
        <v>2</v>
      </c>
      <c r="P17" s="23" t="str">
        <f t="shared" si="2"/>
        <v>Cubierto</v>
      </c>
    </row>
    <row r="18">
      <c r="B18" s="20" t="s">
        <v>195</v>
      </c>
      <c r="C18" s="21" t="s">
        <v>198</v>
      </c>
      <c r="D18" s="21" t="s">
        <v>200</v>
      </c>
      <c r="E18" s="22" t="s">
        <v>167</v>
      </c>
      <c r="F18" s="17"/>
      <c r="G18" s="17"/>
      <c r="H18" s="17"/>
      <c r="I18" s="17"/>
      <c r="J18" s="18" t="s">
        <v>50</v>
      </c>
      <c r="K18" s="17"/>
      <c r="L18" s="17"/>
      <c r="M18" s="17"/>
      <c r="N18" s="17"/>
      <c r="O18" s="19">
        <f t="shared" si="1"/>
        <v>1</v>
      </c>
      <c r="P18" s="23" t="str">
        <f t="shared" si="2"/>
        <v>Cubierto</v>
      </c>
    </row>
    <row r="19">
      <c r="B19" s="12" t="s">
        <v>204</v>
      </c>
      <c r="C19" s="14" t="s">
        <v>205</v>
      </c>
      <c r="D19" s="14" t="s">
        <v>206</v>
      </c>
      <c r="E19" s="15" t="s">
        <v>167</v>
      </c>
      <c r="F19" s="17"/>
      <c r="G19" s="17"/>
      <c r="H19" s="17"/>
      <c r="I19" s="25" t="s">
        <v>56</v>
      </c>
      <c r="J19" s="17"/>
      <c r="K19" s="18" t="s">
        <v>50</v>
      </c>
      <c r="L19" s="17"/>
      <c r="M19" s="17"/>
      <c r="N19" s="17"/>
      <c r="O19" s="19">
        <f t="shared" si="1"/>
        <v>2</v>
      </c>
      <c r="P19" s="23" t="str">
        <f t="shared" si="2"/>
        <v>Cubierto</v>
      </c>
    </row>
    <row r="20">
      <c r="B20" s="20" t="s">
        <v>223</v>
      </c>
      <c r="C20" s="21" t="s">
        <v>225</v>
      </c>
      <c r="D20" s="21" t="s">
        <v>227</v>
      </c>
      <c r="E20" s="22" t="s">
        <v>208</v>
      </c>
      <c r="F20" s="17"/>
      <c r="G20" s="17"/>
      <c r="H20" s="17"/>
      <c r="I20" s="18" t="s">
        <v>50</v>
      </c>
      <c r="J20" s="17"/>
      <c r="K20" s="17"/>
      <c r="L20" s="25" t="s">
        <v>56</v>
      </c>
      <c r="M20" s="17"/>
      <c r="N20" s="17"/>
      <c r="O20" s="19">
        <f t="shared" si="1"/>
        <v>2</v>
      </c>
      <c r="P20" s="23" t="str">
        <f t="shared" si="2"/>
        <v>Cubierto</v>
      </c>
    </row>
    <row r="21" ht="15.75" customHeight="1">
      <c r="B21" s="12" t="s">
        <v>237</v>
      </c>
      <c r="C21" s="14" t="s">
        <v>240</v>
      </c>
      <c r="D21" s="14" t="s">
        <v>242</v>
      </c>
      <c r="E21" s="15" t="s">
        <v>208</v>
      </c>
      <c r="F21" s="17"/>
      <c r="G21" s="17"/>
      <c r="H21" s="18" t="s">
        <v>50</v>
      </c>
      <c r="I21" s="17"/>
      <c r="J21" s="17"/>
      <c r="K21" s="17"/>
      <c r="L21" s="25" t="s">
        <v>56</v>
      </c>
      <c r="M21" s="17"/>
      <c r="N21" s="17"/>
      <c r="O21" s="19">
        <f t="shared" si="1"/>
        <v>2</v>
      </c>
      <c r="P21" s="23" t="str">
        <f t="shared" si="2"/>
        <v>Cubierto</v>
      </c>
    </row>
    <row r="22" ht="15.75" customHeight="1">
      <c r="B22" s="20" t="s">
        <v>247</v>
      </c>
      <c r="C22" s="21" t="s">
        <v>248</v>
      </c>
      <c r="D22" s="21" t="s">
        <v>249</v>
      </c>
      <c r="E22" s="22" t="s">
        <v>208</v>
      </c>
      <c r="F22" s="17"/>
      <c r="G22" s="17"/>
      <c r="H22" s="18" t="s">
        <v>50</v>
      </c>
      <c r="I22" s="25" t="s">
        <v>56</v>
      </c>
      <c r="J22" s="17"/>
      <c r="K22" s="17"/>
      <c r="L22" s="17"/>
      <c r="M22" s="17"/>
      <c r="N22" s="17"/>
      <c r="O22" s="19">
        <f t="shared" si="1"/>
        <v>2</v>
      </c>
      <c r="P22" s="23" t="str">
        <f t="shared" si="2"/>
        <v>Cubierto</v>
      </c>
    </row>
    <row r="23" ht="15.75" customHeight="1">
      <c r="B23" s="12" t="s">
        <v>250</v>
      </c>
      <c r="C23" s="14" t="s">
        <v>251</v>
      </c>
      <c r="D23" s="14" t="s">
        <v>252</v>
      </c>
      <c r="E23" s="15" t="s">
        <v>208</v>
      </c>
      <c r="F23" s="17"/>
      <c r="G23" s="17"/>
      <c r="H23" s="18" t="s">
        <v>50</v>
      </c>
      <c r="I23" s="17"/>
      <c r="J23" s="17"/>
      <c r="K23" s="17"/>
      <c r="L23" s="17"/>
      <c r="M23" s="17"/>
      <c r="N23" s="17"/>
      <c r="O23" s="19">
        <f t="shared" si="1"/>
        <v>1</v>
      </c>
      <c r="P23" s="23" t="str">
        <f t="shared" si="2"/>
        <v>Cubierto</v>
      </c>
    </row>
    <row r="24" ht="15.75" customHeight="1">
      <c r="B24" s="20" t="s">
        <v>233</v>
      </c>
      <c r="C24" s="21" t="s">
        <v>253</v>
      </c>
      <c r="D24" s="21" t="s">
        <v>254</v>
      </c>
      <c r="E24" s="22" t="s">
        <v>208</v>
      </c>
      <c r="F24" s="17"/>
      <c r="G24" s="17"/>
      <c r="H24" s="25" t="s">
        <v>56</v>
      </c>
      <c r="I24" s="17"/>
      <c r="J24" s="17"/>
      <c r="K24" s="17"/>
      <c r="L24" s="18" t="s">
        <v>50</v>
      </c>
      <c r="M24" s="17"/>
      <c r="N24" s="17"/>
      <c r="O24" s="19">
        <f t="shared" si="1"/>
        <v>2</v>
      </c>
      <c r="P24" s="23" t="str">
        <f t="shared" si="2"/>
        <v>Cubierto</v>
      </c>
    </row>
    <row r="25" ht="15.75" customHeight="1">
      <c r="B25" s="12" t="s">
        <v>255</v>
      </c>
      <c r="C25" s="14" t="s">
        <v>256</v>
      </c>
      <c r="D25" s="14" t="s">
        <v>257</v>
      </c>
      <c r="E25" s="15" t="s">
        <v>222</v>
      </c>
      <c r="F25" s="17"/>
      <c r="G25" s="17"/>
      <c r="H25" s="17"/>
      <c r="I25" s="17"/>
      <c r="J25" s="17"/>
      <c r="K25" s="17"/>
      <c r="L25" s="17"/>
      <c r="M25" s="17"/>
      <c r="N25" s="18" t="s">
        <v>50</v>
      </c>
      <c r="O25" s="19">
        <f t="shared" si="1"/>
        <v>1</v>
      </c>
      <c r="P25" s="23" t="str">
        <f t="shared" si="2"/>
        <v>Cubierto</v>
      </c>
    </row>
    <row r="26" ht="15.75" customHeight="1">
      <c r="B26" s="20" t="s">
        <v>258</v>
      </c>
      <c r="C26" s="21" t="s">
        <v>259</v>
      </c>
      <c r="D26" s="21" t="s">
        <v>260</v>
      </c>
      <c r="E26" s="22" t="s">
        <v>222</v>
      </c>
      <c r="F26" s="17"/>
      <c r="G26" s="17"/>
      <c r="H26" s="17"/>
      <c r="I26" s="17"/>
      <c r="J26" s="17"/>
      <c r="K26" s="17"/>
      <c r="L26" s="17"/>
      <c r="M26" s="17"/>
      <c r="N26" s="18" t="s">
        <v>50</v>
      </c>
      <c r="O26" s="19">
        <f t="shared" si="1"/>
        <v>1</v>
      </c>
      <c r="P26" s="23" t="str">
        <f t="shared" si="2"/>
        <v>Cubierto</v>
      </c>
    </row>
    <row r="27" ht="15.75" customHeight="1">
      <c r="B27" s="12" t="s">
        <v>261</v>
      </c>
      <c r="C27" s="14" t="s">
        <v>262</v>
      </c>
      <c r="D27" s="14" t="s">
        <v>263</v>
      </c>
      <c r="E27" s="15" t="s">
        <v>222</v>
      </c>
      <c r="F27" s="17"/>
      <c r="G27" s="17"/>
      <c r="H27" s="17"/>
      <c r="I27" s="17"/>
      <c r="J27" s="17"/>
      <c r="K27" s="17"/>
      <c r="L27" s="17"/>
      <c r="M27" s="17"/>
      <c r="N27" s="18" t="s">
        <v>50</v>
      </c>
      <c r="O27" s="19">
        <f t="shared" si="1"/>
        <v>1</v>
      </c>
      <c r="P27" s="23" t="str">
        <f t="shared" si="2"/>
        <v>Cubierto</v>
      </c>
    </row>
    <row r="28" ht="15.75" customHeight="1">
      <c r="B28" s="20" t="s">
        <v>264</v>
      </c>
      <c r="C28" s="21" t="s">
        <v>265</v>
      </c>
      <c r="D28" s="21" t="s">
        <v>266</v>
      </c>
      <c r="E28" s="22" t="s">
        <v>222</v>
      </c>
      <c r="F28" s="17"/>
      <c r="G28" s="17"/>
      <c r="H28" s="17"/>
      <c r="I28" s="17"/>
      <c r="J28" s="17"/>
      <c r="K28" s="25" t="s">
        <v>56</v>
      </c>
      <c r="L28" s="25" t="s">
        <v>56</v>
      </c>
      <c r="M28" s="17"/>
      <c r="N28" s="18" t="s">
        <v>50</v>
      </c>
      <c r="O28" s="19">
        <f t="shared" si="1"/>
        <v>3</v>
      </c>
      <c r="P28" s="23" t="str">
        <f t="shared" si="2"/>
        <v>Cubierto</v>
      </c>
    </row>
    <row r="29" ht="15.75" customHeight="1">
      <c r="B29" s="12" t="s">
        <v>267</v>
      </c>
      <c r="C29" s="14" t="s">
        <v>268</v>
      </c>
      <c r="D29" s="14" t="s">
        <v>269</v>
      </c>
      <c r="E29" s="15" t="s">
        <v>222</v>
      </c>
      <c r="F29" s="17"/>
      <c r="G29" s="17"/>
      <c r="H29" s="17"/>
      <c r="I29" s="17"/>
      <c r="J29" s="17"/>
      <c r="K29" s="18" t="s">
        <v>50</v>
      </c>
      <c r="L29" s="17"/>
      <c r="M29" s="17"/>
      <c r="N29" s="25" t="s">
        <v>56</v>
      </c>
      <c r="O29" s="19">
        <f t="shared" si="1"/>
        <v>2</v>
      </c>
      <c r="P29" s="23" t="str">
        <f t="shared" si="2"/>
        <v>Cubierto</v>
      </c>
    </row>
    <row r="30" ht="15.75" customHeight="1">
      <c r="B30" s="20" t="s">
        <v>270</v>
      </c>
      <c r="C30" s="21" t="s">
        <v>271</v>
      </c>
      <c r="D30" s="21" t="s">
        <v>272</v>
      </c>
      <c r="E30" s="22" t="s">
        <v>273</v>
      </c>
      <c r="F30" s="17"/>
      <c r="G30" s="17"/>
      <c r="H30" s="17"/>
      <c r="I30" s="17"/>
      <c r="J30" s="17"/>
      <c r="K30" s="17"/>
      <c r="L30" s="17"/>
      <c r="M30" s="18" t="s">
        <v>50</v>
      </c>
      <c r="N30" s="17"/>
      <c r="O30" s="19">
        <f t="shared" si="1"/>
        <v>1</v>
      </c>
      <c r="P30" s="23" t="str">
        <f t="shared" si="2"/>
        <v>Cubierto</v>
      </c>
    </row>
    <row r="31" ht="15.75" customHeight="1">
      <c r="B31" s="12" t="s">
        <v>274</v>
      </c>
      <c r="C31" s="14" t="s">
        <v>275</v>
      </c>
      <c r="D31" s="14" t="s">
        <v>276</v>
      </c>
      <c r="E31" s="15" t="s">
        <v>273</v>
      </c>
      <c r="F31" s="17"/>
      <c r="G31" s="17"/>
      <c r="H31" s="17"/>
      <c r="I31" s="17"/>
      <c r="J31" s="17"/>
      <c r="K31" s="17"/>
      <c r="L31" s="17"/>
      <c r="M31" s="18" t="s">
        <v>50</v>
      </c>
      <c r="N31" s="17"/>
      <c r="O31" s="19">
        <f t="shared" si="1"/>
        <v>1</v>
      </c>
      <c r="P31" s="23" t="str">
        <f t="shared" si="2"/>
        <v>Cubierto</v>
      </c>
    </row>
    <row r="32" ht="15.75" customHeight="1">
      <c r="B32" s="20" t="s">
        <v>277</v>
      </c>
      <c r="C32" s="21" t="s">
        <v>278</v>
      </c>
      <c r="D32" s="21" t="s">
        <v>279</v>
      </c>
      <c r="E32" s="22" t="s">
        <v>273</v>
      </c>
      <c r="F32" s="17"/>
      <c r="G32" s="17"/>
      <c r="H32" s="17"/>
      <c r="I32" s="17"/>
      <c r="J32" s="17"/>
      <c r="K32" s="17"/>
      <c r="L32" s="17"/>
      <c r="M32" s="18" t="s">
        <v>50</v>
      </c>
      <c r="N32" s="17"/>
      <c r="O32" s="19">
        <f t="shared" si="1"/>
        <v>1</v>
      </c>
      <c r="P32" s="23" t="str">
        <f t="shared" si="2"/>
        <v>Cubierto</v>
      </c>
    </row>
    <row r="33" ht="15.75" customHeight="1">
      <c r="B33" s="12" t="s">
        <v>280</v>
      </c>
      <c r="C33" s="14" t="s">
        <v>281</v>
      </c>
      <c r="D33" s="14" t="s">
        <v>282</v>
      </c>
      <c r="E33" s="15" t="s">
        <v>273</v>
      </c>
      <c r="F33" s="17"/>
      <c r="G33" s="17"/>
      <c r="H33" s="17"/>
      <c r="I33" s="17"/>
      <c r="J33" s="17"/>
      <c r="K33" s="17"/>
      <c r="L33" s="17"/>
      <c r="M33" s="18" t="s">
        <v>50</v>
      </c>
      <c r="N33" s="17"/>
      <c r="O33" s="19">
        <f t="shared" si="1"/>
        <v>1</v>
      </c>
      <c r="P33" s="23" t="str">
        <f t="shared" si="2"/>
        <v>Cubierto</v>
      </c>
    </row>
    <row r="34" ht="15.75" customHeight="1">
      <c r="D34" s="31" t="s">
        <v>283</v>
      </c>
      <c r="F34" s="32">
        <f t="shared" ref="F34:N34" si="3">COUNTIF(F5:F33,"X")</f>
        <v>3</v>
      </c>
      <c r="G34" s="32">
        <f t="shared" si="3"/>
        <v>1</v>
      </c>
      <c r="H34" s="32">
        <f t="shared" si="3"/>
        <v>8</v>
      </c>
      <c r="I34" s="32">
        <f t="shared" si="3"/>
        <v>5</v>
      </c>
      <c r="J34" s="32">
        <f t="shared" si="3"/>
        <v>1</v>
      </c>
      <c r="K34" s="32">
        <f t="shared" si="3"/>
        <v>2</v>
      </c>
      <c r="L34" s="32">
        <f t="shared" si="3"/>
        <v>1</v>
      </c>
      <c r="M34" s="32">
        <f t="shared" si="3"/>
        <v>4</v>
      </c>
      <c r="N34" s="32">
        <f t="shared" si="3"/>
        <v>4</v>
      </c>
      <c r="O34" s="33">
        <f>SUM(F34:N34)</f>
        <v>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4:$P$33"/>
  <mergeCells count="1">
    <mergeCell ref="B1:P1"/>
  </mergeCells>
  <printOptions horizontalCentered="1"/>
  <pageMargins bottom="0.4" footer="0.0" header="0.0" left="0.3" right="0.3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3.0"/>
    <col customWidth="1" min="2" max="2" width="11.0"/>
    <col customWidth="1" min="3" max="3" width="32.0"/>
    <col customWidth="1" min="4" max="4" width="17.0"/>
    <col customWidth="1" min="5" max="5" width="54.0"/>
    <col customWidth="1" min="6" max="14" width="8.43"/>
    <col customWidth="1" min="15" max="15" width="12.0"/>
  </cols>
  <sheetData>
    <row r="1" ht="24.0" customHeight="1"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B2" s="6" t="s">
        <v>26</v>
      </c>
    </row>
    <row r="4" ht="45.75" customHeight="1">
      <c r="B4" s="7" t="s">
        <v>22</v>
      </c>
      <c r="C4" s="7" t="s">
        <v>35</v>
      </c>
      <c r="D4" s="7" t="s">
        <v>36</v>
      </c>
      <c r="E4" s="7" t="s">
        <v>37</v>
      </c>
      <c r="F4" s="10" t="s">
        <v>34</v>
      </c>
      <c r="G4" s="10" t="s">
        <v>40</v>
      </c>
      <c r="H4" s="10" t="s">
        <v>41</v>
      </c>
      <c r="I4" s="10" t="s">
        <v>43</v>
      </c>
      <c r="J4" s="10" t="s">
        <v>45</v>
      </c>
      <c r="K4" s="10" t="s">
        <v>46</v>
      </c>
      <c r="L4" s="10" t="s">
        <v>48</v>
      </c>
      <c r="M4" s="10" t="s">
        <v>49</v>
      </c>
      <c r="N4" s="10" t="s">
        <v>51</v>
      </c>
      <c r="O4" s="7" t="s">
        <v>52</v>
      </c>
    </row>
    <row r="5">
      <c r="B5" s="12" t="s">
        <v>54</v>
      </c>
      <c r="C5" s="14" t="s">
        <v>59</v>
      </c>
      <c r="D5" s="15" t="s">
        <v>63</v>
      </c>
      <c r="E5" s="14" t="s">
        <v>64</v>
      </c>
      <c r="F5" s="17"/>
      <c r="G5" s="17"/>
      <c r="H5" s="17"/>
      <c r="I5" s="18" t="s">
        <v>50</v>
      </c>
      <c r="J5" s="18" t="s">
        <v>50</v>
      </c>
      <c r="K5" s="17"/>
      <c r="L5" s="17"/>
      <c r="M5" s="17"/>
      <c r="N5" s="17"/>
      <c r="O5" s="19">
        <f t="shared" ref="O5:O23" si="1">COUNTIF(F5:N5,"X")</f>
        <v>2</v>
      </c>
    </row>
    <row r="6">
      <c r="B6" s="20" t="s">
        <v>84</v>
      </c>
      <c r="C6" s="21" t="s">
        <v>86</v>
      </c>
      <c r="D6" s="22" t="s">
        <v>63</v>
      </c>
      <c r="E6" s="21" t="s">
        <v>88</v>
      </c>
      <c r="F6" s="17"/>
      <c r="G6" s="17"/>
      <c r="H6" s="17"/>
      <c r="I6" s="17"/>
      <c r="J6" s="17"/>
      <c r="K6" s="18" t="s">
        <v>50</v>
      </c>
      <c r="L6" s="18" t="s">
        <v>50</v>
      </c>
      <c r="M6" s="17"/>
      <c r="N6" s="18" t="s">
        <v>50</v>
      </c>
      <c r="O6" s="19">
        <f t="shared" si="1"/>
        <v>3</v>
      </c>
    </row>
    <row r="7">
      <c r="B7" s="12" t="s">
        <v>91</v>
      </c>
      <c r="C7" s="14" t="s">
        <v>92</v>
      </c>
      <c r="D7" s="15" t="s">
        <v>63</v>
      </c>
      <c r="E7" s="14" t="s">
        <v>93</v>
      </c>
      <c r="F7" s="17"/>
      <c r="G7" s="17"/>
      <c r="H7" s="18" t="s">
        <v>50</v>
      </c>
      <c r="I7" s="18" t="s">
        <v>50</v>
      </c>
      <c r="J7" s="17"/>
      <c r="K7" s="17"/>
      <c r="L7" s="17"/>
      <c r="M7" s="17"/>
      <c r="N7" s="17"/>
      <c r="O7" s="19">
        <f t="shared" si="1"/>
        <v>2</v>
      </c>
    </row>
    <row r="8">
      <c r="B8" s="20" t="s">
        <v>95</v>
      </c>
      <c r="C8" s="21" t="s">
        <v>96</v>
      </c>
      <c r="D8" s="22" t="s">
        <v>63</v>
      </c>
      <c r="E8" s="21" t="s">
        <v>97</v>
      </c>
      <c r="F8" s="25" t="s">
        <v>50</v>
      </c>
      <c r="G8" s="25" t="s">
        <v>50</v>
      </c>
      <c r="H8" s="25" t="s">
        <v>50</v>
      </c>
      <c r="I8" s="25" t="s">
        <v>50</v>
      </c>
      <c r="J8" s="25" t="s">
        <v>50</v>
      </c>
      <c r="K8" s="25" t="s">
        <v>50</v>
      </c>
      <c r="L8" s="25" t="s">
        <v>50</v>
      </c>
      <c r="M8" s="25" t="s">
        <v>50</v>
      </c>
      <c r="N8" s="25" t="s">
        <v>50</v>
      </c>
      <c r="O8" s="19">
        <f t="shared" si="1"/>
        <v>9</v>
      </c>
    </row>
    <row r="9">
      <c r="B9" s="12" t="s">
        <v>102</v>
      </c>
      <c r="C9" s="14" t="s">
        <v>103</v>
      </c>
      <c r="D9" s="15" t="s">
        <v>104</v>
      </c>
      <c r="E9" s="14" t="s">
        <v>105</v>
      </c>
      <c r="F9" s="18" t="s">
        <v>50</v>
      </c>
      <c r="G9" s="17"/>
      <c r="H9" s="17"/>
      <c r="I9" s="17"/>
      <c r="J9" s="17"/>
      <c r="K9" s="17"/>
      <c r="L9" s="17"/>
      <c r="M9" s="18" t="s">
        <v>50</v>
      </c>
      <c r="N9" s="17"/>
      <c r="O9" s="19">
        <f t="shared" si="1"/>
        <v>2</v>
      </c>
    </row>
    <row r="10">
      <c r="B10" s="20" t="s">
        <v>107</v>
      </c>
      <c r="C10" s="21" t="s">
        <v>108</v>
      </c>
      <c r="D10" s="22" t="s">
        <v>104</v>
      </c>
      <c r="E10" s="21" t="s">
        <v>110</v>
      </c>
      <c r="F10" s="25" t="s">
        <v>50</v>
      </c>
      <c r="G10" s="25" t="s">
        <v>50</v>
      </c>
      <c r="H10" s="25" t="s">
        <v>50</v>
      </c>
      <c r="I10" s="25" t="s">
        <v>50</v>
      </c>
      <c r="J10" s="25" t="s">
        <v>50</v>
      </c>
      <c r="K10" s="25" t="s">
        <v>50</v>
      </c>
      <c r="L10" s="25" t="s">
        <v>50</v>
      </c>
      <c r="M10" s="25" t="s">
        <v>50</v>
      </c>
      <c r="N10" s="25" t="s">
        <v>50</v>
      </c>
      <c r="O10" s="19">
        <f t="shared" si="1"/>
        <v>9</v>
      </c>
    </row>
    <row r="11">
      <c r="B11" s="12" t="s">
        <v>112</v>
      </c>
      <c r="C11" s="14" t="s">
        <v>113</v>
      </c>
      <c r="D11" s="15" t="s">
        <v>104</v>
      </c>
      <c r="E11" s="14" t="s">
        <v>114</v>
      </c>
      <c r="F11" s="18" t="s">
        <v>50</v>
      </c>
      <c r="G11" s="18" t="s">
        <v>50</v>
      </c>
      <c r="H11" s="17"/>
      <c r="I11" s="17"/>
      <c r="J11" s="17"/>
      <c r="K11" s="17"/>
      <c r="L11" s="17"/>
      <c r="M11" s="17"/>
      <c r="N11" s="17"/>
      <c r="O11" s="19">
        <f t="shared" si="1"/>
        <v>2</v>
      </c>
    </row>
    <row r="12">
      <c r="B12" s="20" t="s">
        <v>116</v>
      </c>
      <c r="C12" s="21" t="s">
        <v>118</v>
      </c>
      <c r="D12" s="22" t="s">
        <v>104</v>
      </c>
      <c r="E12" s="21" t="s">
        <v>120</v>
      </c>
      <c r="F12" s="17"/>
      <c r="G12" s="17"/>
      <c r="H12" s="17"/>
      <c r="I12" s="18" t="s">
        <v>50</v>
      </c>
      <c r="J12" s="17"/>
      <c r="K12" s="17"/>
      <c r="L12" s="18" t="s">
        <v>50</v>
      </c>
      <c r="M12" s="18" t="s">
        <v>50</v>
      </c>
      <c r="N12" s="17"/>
      <c r="O12" s="19">
        <f t="shared" si="1"/>
        <v>3</v>
      </c>
    </row>
    <row r="13">
      <c r="B13" s="12" t="s">
        <v>121</v>
      </c>
      <c r="C13" s="14" t="s">
        <v>122</v>
      </c>
      <c r="D13" s="15" t="s">
        <v>123</v>
      </c>
      <c r="E13" s="14" t="s">
        <v>124</v>
      </c>
      <c r="F13" s="25" t="s">
        <v>50</v>
      </c>
      <c r="G13" s="25" t="s">
        <v>50</v>
      </c>
      <c r="H13" s="25" t="s">
        <v>50</v>
      </c>
      <c r="I13" s="25" t="s">
        <v>50</v>
      </c>
      <c r="J13" s="25" t="s">
        <v>50</v>
      </c>
      <c r="K13" s="25" t="s">
        <v>50</v>
      </c>
      <c r="L13" s="25" t="s">
        <v>50</v>
      </c>
      <c r="M13" s="25" t="s">
        <v>50</v>
      </c>
      <c r="N13" s="25" t="s">
        <v>50</v>
      </c>
      <c r="O13" s="19">
        <f t="shared" si="1"/>
        <v>9</v>
      </c>
    </row>
    <row r="14">
      <c r="B14" s="20" t="s">
        <v>129</v>
      </c>
      <c r="C14" s="21" t="s">
        <v>130</v>
      </c>
      <c r="D14" s="22" t="s">
        <v>123</v>
      </c>
      <c r="E14" s="21" t="s">
        <v>131</v>
      </c>
      <c r="F14" s="25" t="s">
        <v>50</v>
      </c>
      <c r="G14" s="25" t="s">
        <v>50</v>
      </c>
      <c r="H14" s="25" t="s">
        <v>50</v>
      </c>
      <c r="I14" s="25" t="s">
        <v>50</v>
      </c>
      <c r="J14" s="25" t="s">
        <v>50</v>
      </c>
      <c r="K14" s="25" t="s">
        <v>50</v>
      </c>
      <c r="L14" s="25" t="s">
        <v>50</v>
      </c>
      <c r="M14" s="25" t="s">
        <v>50</v>
      </c>
      <c r="N14" s="25" t="s">
        <v>50</v>
      </c>
      <c r="O14" s="19">
        <f t="shared" si="1"/>
        <v>9</v>
      </c>
    </row>
    <row r="15">
      <c r="B15" s="12" t="s">
        <v>133</v>
      </c>
      <c r="C15" s="14" t="s">
        <v>134</v>
      </c>
      <c r="D15" s="15" t="s">
        <v>123</v>
      </c>
      <c r="E15" s="14" t="s">
        <v>137</v>
      </c>
      <c r="F15" s="25" t="s">
        <v>50</v>
      </c>
      <c r="G15" s="25" t="s">
        <v>50</v>
      </c>
      <c r="H15" s="25" t="s">
        <v>50</v>
      </c>
      <c r="I15" s="25" t="s">
        <v>50</v>
      </c>
      <c r="J15" s="25" t="s">
        <v>50</v>
      </c>
      <c r="K15" s="25" t="s">
        <v>50</v>
      </c>
      <c r="L15" s="25" t="s">
        <v>50</v>
      </c>
      <c r="M15" s="25" t="s">
        <v>50</v>
      </c>
      <c r="N15" s="25" t="s">
        <v>50</v>
      </c>
      <c r="O15" s="19">
        <f t="shared" si="1"/>
        <v>9</v>
      </c>
    </row>
    <row r="16">
      <c r="B16" s="20" t="s">
        <v>138</v>
      </c>
      <c r="C16" s="21" t="s">
        <v>139</v>
      </c>
      <c r="D16" s="22" t="s">
        <v>123</v>
      </c>
      <c r="E16" s="21" t="s">
        <v>140</v>
      </c>
      <c r="F16" s="18" t="s">
        <v>50</v>
      </c>
      <c r="G16" s="17"/>
      <c r="H16" s="18" t="s">
        <v>50</v>
      </c>
      <c r="I16" s="18" t="s">
        <v>50</v>
      </c>
      <c r="J16" s="17"/>
      <c r="K16" s="17"/>
      <c r="L16" s="17"/>
      <c r="M16" s="18" t="s">
        <v>50</v>
      </c>
      <c r="N16" s="17"/>
      <c r="O16" s="19">
        <f t="shared" si="1"/>
        <v>4</v>
      </c>
    </row>
    <row r="17">
      <c r="B17" s="12" t="s">
        <v>144</v>
      </c>
      <c r="C17" s="14" t="s">
        <v>145</v>
      </c>
      <c r="D17" s="15" t="s">
        <v>146</v>
      </c>
      <c r="E17" s="14" t="s">
        <v>147</v>
      </c>
      <c r="F17" s="25" t="s">
        <v>50</v>
      </c>
      <c r="G17" s="25" t="s">
        <v>50</v>
      </c>
      <c r="H17" s="25" t="s">
        <v>50</v>
      </c>
      <c r="I17" s="25" t="s">
        <v>50</v>
      </c>
      <c r="J17" s="25" t="s">
        <v>50</v>
      </c>
      <c r="K17" s="25" t="s">
        <v>50</v>
      </c>
      <c r="L17" s="25" t="s">
        <v>50</v>
      </c>
      <c r="M17" s="25" t="s">
        <v>50</v>
      </c>
      <c r="N17" s="25" t="s">
        <v>50</v>
      </c>
      <c r="O17" s="19">
        <f t="shared" si="1"/>
        <v>9</v>
      </c>
    </row>
    <row r="18">
      <c r="B18" s="20" t="s">
        <v>148</v>
      </c>
      <c r="C18" s="21" t="s">
        <v>150</v>
      </c>
      <c r="D18" s="22" t="s">
        <v>146</v>
      </c>
      <c r="E18" s="21" t="s">
        <v>153</v>
      </c>
      <c r="F18" s="25" t="s">
        <v>50</v>
      </c>
      <c r="G18" s="25" t="s">
        <v>50</v>
      </c>
      <c r="H18" s="25" t="s">
        <v>50</v>
      </c>
      <c r="I18" s="25" t="s">
        <v>50</v>
      </c>
      <c r="J18" s="25" t="s">
        <v>50</v>
      </c>
      <c r="K18" s="25" t="s">
        <v>50</v>
      </c>
      <c r="L18" s="25" t="s">
        <v>50</v>
      </c>
      <c r="M18" s="25" t="s">
        <v>50</v>
      </c>
      <c r="N18" s="25" t="s">
        <v>50</v>
      </c>
      <c r="O18" s="19">
        <f t="shared" si="1"/>
        <v>9</v>
      </c>
    </row>
    <row r="19">
      <c r="B19" s="12" t="s">
        <v>154</v>
      </c>
      <c r="C19" s="14" t="s">
        <v>155</v>
      </c>
      <c r="D19" s="15" t="s">
        <v>146</v>
      </c>
      <c r="E19" s="14" t="s">
        <v>156</v>
      </c>
      <c r="F19" s="25" t="s">
        <v>50</v>
      </c>
      <c r="G19" s="25" t="s">
        <v>50</v>
      </c>
      <c r="H19" s="25" t="s">
        <v>50</v>
      </c>
      <c r="I19" s="25" t="s">
        <v>50</v>
      </c>
      <c r="J19" s="25" t="s">
        <v>50</v>
      </c>
      <c r="K19" s="25" t="s">
        <v>50</v>
      </c>
      <c r="L19" s="25" t="s">
        <v>50</v>
      </c>
      <c r="M19" s="25" t="s">
        <v>50</v>
      </c>
      <c r="N19" s="25" t="s">
        <v>50</v>
      </c>
      <c r="O19" s="19">
        <f t="shared" si="1"/>
        <v>9</v>
      </c>
    </row>
    <row r="20">
      <c r="B20" s="20" t="s">
        <v>160</v>
      </c>
      <c r="C20" s="21" t="s">
        <v>161</v>
      </c>
      <c r="D20" s="22" t="s">
        <v>162</v>
      </c>
      <c r="E20" s="21" t="s">
        <v>163</v>
      </c>
      <c r="F20" s="17"/>
      <c r="G20" s="17"/>
      <c r="H20" s="18" t="s">
        <v>50</v>
      </c>
      <c r="I20" s="18" t="s">
        <v>50</v>
      </c>
      <c r="J20" s="17"/>
      <c r="K20" s="17"/>
      <c r="L20" s="18" t="s">
        <v>50</v>
      </c>
      <c r="M20" s="17"/>
      <c r="N20" s="17"/>
      <c r="O20" s="19">
        <f t="shared" si="1"/>
        <v>3</v>
      </c>
    </row>
    <row r="21" ht="15.75" customHeight="1">
      <c r="B21" s="12" t="s">
        <v>168</v>
      </c>
      <c r="C21" s="14" t="s">
        <v>169</v>
      </c>
      <c r="D21" s="15" t="s">
        <v>162</v>
      </c>
      <c r="E21" s="14" t="s">
        <v>170</v>
      </c>
      <c r="F21" s="25" t="s">
        <v>50</v>
      </c>
      <c r="G21" s="25" t="s">
        <v>50</v>
      </c>
      <c r="H21" s="25" t="s">
        <v>50</v>
      </c>
      <c r="I21" s="25" t="s">
        <v>50</v>
      </c>
      <c r="J21" s="25" t="s">
        <v>50</v>
      </c>
      <c r="K21" s="25" t="s">
        <v>50</v>
      </c>
      <c r="L21" s="25" t="s">
        <v>50</v>
      </c>
      <c r="M21" s="25" t="s">
        <v>50</v>
      </c>
      <c r="N21" s="25" t="s">
        <v>50</v>
      </c>
      <c r="O21" s="19">
        <f t="shared" si="1"/>
        <v>9</v>
      </c>
    </row>
    <row r="22" ht="15.75" customHeight="1">
      <c r="B22" s="20" t="s">
        <v>171</v>
      </c>
      <c r="C22" s="21" t="s">
        <v>173</v>
      </c>
      <c r="D22" s="22" t="s">
        <v>175</v>
      </c>
      <c r="E22" s="21" t="s">
        <v>177</v>
      </c>
      <c r="F22" s="25" t="s">
        <v>50</v>
      </c>
      <c r="G22" s="25" t="s">
        <v>50</v>
      </c>
      <c r="H22" s="25" t="s">
        <v>50</v>
      </c>
      <c r="I22" s="25" t="s">
        <v>50</v>
      </c>
      <c r="J22" s="25" t="s">
        <v>50</v>
      </c>
      <c r="K22" s="25" t="s">
        <v>50</v>
      </c>
      <c r="L22" s="25" t="s">
        <v>50</v>
      </c>
      <c r="M22" s="25" t="s">
        <v>50</v>
      </c>
      <c r="N22" s="25" t="s">
        <v>50</v>
      </c>
      <c r="O22" s="19">
        <f t="shared" si="1"/>
        <v>9</v>
      </c>
    </row>
    <row r="23" ht="15.75" customHeight="1">
      <c r="B23" s="12" t="s">
        <v>178</v>
      </c>
      <c r="C23" s="14" t="s">
        <v>179</v>
      </c>
      <c r="D23" s="15" t="s">
        <v>175</v>
      </c>
      <c r="E23" s="14" t="s">
        <v>180</v>
      </c>
      <c r="F23" s="17"/>
      <c r="G23" s="17"/>
      <c r="H23" s="18" t="s">
        <v>50</v>
      </c>
      <c r="I23" s="17"/>
      <c r="J23" s="18" t="s">
        <v>50</v>
      </c>
      <c r="K23" s="17"/>
      <c r="L23" s="18" t="s">
        <v>50</v>
      </c>
      <c r="M23" s="17"/>
      <c r="N23" s="18" t="s">
        <v>50</v>
      </c>
      <c r="O23" s="19">
        <f t="shared" si="1"/>
        <v>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O1"/>
  </mergeCells>
  <printOptions horizontalCentered="1"/>
  <pageMargins bottom="0.4" footer="0.0" header="0.0" left="0.3" right="0.3" top="0.4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30.0"/>
    <col customWidth="1" min="4" max="4" width="56.0"/>
    <col customWidth="1" min="5" max="13" width="8.43"/>
    <col customWidth="1" min="14" max="14" width="12.0"/>
  </cols>
  <sheetData>
    <row r="1" ht="24.0" customHeight="1"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B2" s="6" t="s">
        <v>9</v>
      </c>
    </row>
    <row r="4" ht="45.75" customHeight="1">
      <c r="B4" s="7" t="s">
        <v>22</v>
      </c>
      <c r="C4" s="7" t="s">
        <v>28</v>
      </c>
      <c r="D4" s="7" t="s">
        <v>31</v>
      </c>
      <c r="E4" s="10" t="s">
        <v>34</v>
      </c>
      <c r="F4" s="10" t="s">
        <v>40</v>
      </c>
      <c r="G4" s="10" t="s">
        <v>41</v>
      </c>
      <c r="H4" s="10" t="s">
        <v>43</v>
      </c>
      <c r="I4" s="10" t="s">
        <v>45</v>
      </c>
      <c r="J4" s="10" t="s">
        <v>46</v>
      </c>
      <c r="K4" s="10" t="s">
        <v>48</v>
      </c>
      <c r="L4" s="10" t="s">
        <v>49</v>
      </c>
      <c r="M4" s="10" t="s">
        <v>51</v>
      </c>
      <c r="N4" s="7" t="s">
        <v>52</v>
      </c>
    </row>
    <row r="5">
      <c r="B5" s="12" t="s">
        <v>55</v>
      </c>
      <c r="C5" s="15" t="s">
        <v>62</v>
      </c>
      <c r="D5" s="14" t="s">
        <v>65</v>
      </c>
      <c r="E5" s="17"/>
      <c r="F5" s="17"/>
      <c r="G5" s="17"/>
      <c r="H5" s="18" t="s">
        <v>50</v>
      </c>
      <c r="I5" s="18" t="s">
        <v>50</v>
      </c>
      <c r="J5" s="18" t="s">
        <v>50</v>
      </c>
      <c r="K5" s="17"/>
      <c r="L5" s="17"/>
      <c r="M5" s="17"/>
      <c r="N5" s="19">
        <f t="shared" ref="N5:N7" si="1">COUNTIF(E5:M5,"X")</f>
        <v>3</v>
      </c>
    </row>
    <row r="6">
      <c r="B6" s="12" t="s">
        <v>82</v>
      </c>
      <c r="C6" s="15" t="s">
        <v>83</v>
      </c>
      <c r="D6" s="14" t="s">
        <v>85</v>
      </c>
      <c r="E6" s="17"/>
      <c r="F6" s="17"/>
      <c r="G6" s="18" t="s">
        <v>50</v>
      </c>
      <c r="H6" s="17"/>
      <c r="I6" s="17"/>
      <c r="J6" s="17"/>
      <c r="K6" s="18" t="s">
        <v>50</v>
      </c>
      <c r="L6" s="17"/>
      <c r="M6" s="17"/>
      <c r="N6" s="19">
        <f t="shared" si="1"/>
        <v>2</v>
      </c>
    </row>
    <row r="7">
      <c r="B7" s="12" t="s">
        <v>87</v>
      </c>
      <c r="C7" s="15" t="s">
        <v>89</v>
      </c>
      <c r="D7" s="14" t="s">
        <v>90</v>
      </c>
      <c r="E7" s="18" t="s">
        <v>50</v>
      </c>
      <c r="F7" s="18" t="s">
        <v>50</v>
      </c>
      <c r="G7" s="17"/>
      <c r="H7" s="17"/>
      <c r="I7" s="17"/>
      <c r="J7" s="17"/>
      <c r="K7" s="17"/>
      <c r="L7" s="18" t="s">
        <v>50</v>
      </c>
      <c r="M7" s="18" t="s">
        <v>50</v>
      </c>
      <c r="N7" s="19">
        <f t="shared" si="1"/>
        <v>4</v>
      </c>
    </row>
    <row r="9">
      <c r="B9" s="24" t="s">
        <v>94</v>
      </c>
    </row>
    <row r="10">
      <c r="D10" s="26" t="s">
        <v>100</v>
      </c>
      <c r="E10" s="23" t="str">
        <f t="shared" ref="E10:M10" si="2">IF(COUNTIF(E5:E7,"X")=0,"HUÉRFANO","OK")</f>
        <v>OK</v>
      </c>
      <c r="F10" s="23" t="str">
        <f t="shared" si="2"/>
        <v>OK</v>
      </c>
      <c r="G10" s="23" t="str">
        <f t="shared" si="2"/>
        <v>OK</v>
      </c>
      <c r="H10" s="23" t="str">
        <f t="shared" si="2"/>
        <v>OK</v>
      </c>
      <c r="I10" s="23" t="str">
        <f t="shared" si="2"/>
        <v>OK</v>
      </c>
      <c r="J10" s="23" t="str">
        <f t="shared" si="2"/>
        <v>OK</v>
      </c>
      <c r="K10" s="23" t="str">
        <f t="shared" si="2"/>
        <v>OK</v>
      </c>
      <c r="L10" s="23" t="str">
        <f t="shared" si="2"/>
        <v>OK</v>
      </c>
      <c r="M10" s="23" t="str">
        <f t="shared" si="2"/>
        <v>OK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N1"/>
  </mergeCells>
  <printOptions horizontalCentered="1"/>
  <pageMargins bottom="0.4" footer="0.0" header="0.0" left="0.3" right="0.3" top="0.4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11.0"/>
    <col customWidth="1" min="3" max="3" width="32.0"/>
    <col customWidth="1" min="4" max="4" width="17.0"/>
    <col customWidth="1" min="5" max="5" width="24.0"/>
    <col customWidth="1" min="6" max="7" width="17.0"/>
    <col customWidth="1" min="8" max="8" width="22.0"/>
  </cols>
  <sheetData>
    <row r="1" ht="24.0" customHeight="1">
      <c r="B1" s="1" t="s">
        <v>184</v>
      </c>
      <c r="C1" s="2"/>
      <c r="D1" s="2"/>
      <c r="E1" s="2"/>
      <c r="F1" s="2"/>
      <c r="G1" s="2"/>
      <c r="H1" s="2"/>
    </row>
    <row r="2">
      <c r="B2" s="6" t="s">
        <v>185</v>
      </c>
    </row>
    <row r="4" ht="30.0" customHeight="1">
      <c r="B4" s="7" t="s">
        <v>188</v>
      </c>
      <c r="C4" s="7" t="s">
        <v>190</v>
      </c>
      <c r="D4" s="7" t="s">
        <v>191</v>
      </c>
      <c r="E4" s="7" t="s">
        <v>15</v>
      </c>
      <c r="F4" s="7" t="s">
        <v>192</v>
      </c>
      <c r="G4" s="7" t="s">
        <v>193</v>
      </c>
      <c r="H4" s="7" t="s">
        <v>194</v>
      </c>
    </row>
    <row r="5">
      <c r="B5" s="12" t="s">
        <v>34</v>
      </c>
      <c r="C5" s="14" t="s">
        <v>61</v>
      </c>
      <c r="D5" s="15" t="s">
        <v>104</v>
      </c>
      <c r="E5" s="15" t="s">
        <v>196</v>
      </c>
      <c r="F5" s="15" t="s">
        <v>197</v>
      </c>
      <c r="G5" s="27" t="s">
        <v>199</v>
      </c>
      <c r="H5" s="14" t="s">
        <v>201</v>
      </c>
    </row>
    <row r="6">
      <c r="B6" s="20" t="s">
        <v>40</v>
      </c>
      <c r="C6" s="21" t="s">
        <v>99</v>
      </c>
      <c r="D6" s="22" t="s">
        <v>104</v>
      </c>
      <c r="E6" s="22" t="s">
        <v>196</v>
      </c>
      <c r="F6" s="22" t="s">
        <v>202</v>
      </c>
      <c r="G6" s="28" t="s">
        <v>203</v>
      </c>
      <c r="H6" s="21" t="s">
        <v>98</v>
      </c>
    </row>
    <row r="7">
      <c r="B7" s="12" t="s">
        <v>41</v>
      </c>
      <c r="C7" s="14" t="s">
        <v>207</v>
      </c>
      <c r="D7" s="15" t="s">
        <v>208</v>
      </c>
      <c r="E7" s="15" t="s">
        <v>209</v>
      </c>
      <c r="F7" s="15" t="s">
        <v>210</v>
      </c>
      <c r="G7" s="27" t="s">
        <v>211</v>
      </c>
      <c r="H7" s="14" t="s">
        <v>212</v>
      </c>
    </row>
    <row r="8">
      <c r="B8" s="20" t="s">
        <v>43</v>
      </c>
      <c r="C8" s="21" t="s">
        <v>213</v>
      </c>
      <c r="D8" s="22" t="s">
        <v>167</v>
      </c>
      <c r="E8" s="22" t="s">
        <v>214</v>
      </c>
      <c r="F8" s="22" t="s">
        <v>215</v>
      </c>
      <c r="G8" s="28" t="s">
        <v>216</v>
      </c>
      <c r="H8" s="21" t="s">
        <v>217</v>
      </c>
    </row>
    <row r="9">
      <c r="B9" s="12" t="s">
        <v>45</v>
      </c>
      <c r="C9" s="14" t="s">
        <v>218</v>
      </c>
      <c r="D9" s="15" t="s">
        <v>167</v>
      </c>
      <c r="E9" s="15" t="s">
        <v>214</v>
      </c>
      <c r="F9" s="15" t="s">
        <v>219</v>
      </c>
      <c r="G9" s="27" t="s">
        <v>220</v>
      </c>
      <c r="H9" s="14" t="s">
        <v>195</v>
      </c>
    </row>
    <row r="10">
      <c r="B10" s="20" t="s">
        <v>46</v>
      </c>
      <c r="C10" s="21" t="s">
        <v>221</v>
      </c>
      <c r="D10" s="22" t="s">
        <v>222</v>
      </c>
      <c r="E10" s="29" t="s">
        <v>224</v>
      </c>
      <c r="F10" s="22" t="s">
        <v>226</v>
      </c>
      <c r="G10" s="28" t="s">
        <v>228</v>
      </c>
      <c r="H10" s="21" t="s">
        <v>229</v>
      </c>
    </row>
    <row r="11">
      <c r="B11" s="12" t="s">
        <v>48</v>
      </c>
      <c r="C11" s="14" t="s">
        <v>230</v>
      </c>
      <c r="D11" s="15" t="s">
        <v>208</v>
      </c>
      <c r="E11" s="30" t="s">
        <v>209</v>
      </c>
      <c r="F11" s="15" t="s">
        <v>231</v>
      </c>
      <c r="G11" s="27" t="s">
        <v>232</v>
      </c>
      <c r="H11" s="14" t="s">
        <v>233</v>
      </c>
    </row>
    <row r="12">
      <c r="B12" s="20" t="s">
        <v>49</v>
      </c>
      <c r="C12" s="21" t="s">
        <v>234</v>
      </c>
      <c r="D12" s="22" t="s">
        <v>235</v>
      </c>
      <c r="E12" s="22" t="s">
        <v>236</v>
      </c>
      <c r="F12" s="22" t="s">
        <v>238</v>
      </c>
      <c r="G12" s="28" t="s">
        <v>239</v>
      </c>
      <c r="H12" s="21" t="s">
        <v>241</v>
      </c>
    </row>
    <row r="13">
      <c r="B13" s="12" t="s">
        <v>51</v>
      </c>
      <c r="C13" s="14" t="s">
        <v>243</v>
      </c>
      <c r="D13" s="15" t="s">
        <v>222</v>
      </c>
      <c r="E13" s="15" t="s">
        <v>236</v>
      </c>
      <c r="F13" s="15" t="s">
        <v>244</v>
      </c>
      <c r="G13" s="27" t="s">
        <v>245</v>
      </c>
      <c r="H13" s="14" t="s">
        <v>246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 horizontalCentered="1"/>
  <pageMargins bottom="0.4" footer="0.0" header="0.0" left="0.3" right="0.3" top="0.4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10.0"/>
    <col customWidth="1" min="3" max="3" width="11.0"/>
    <col customWidth="1" min="4" max="4" width="44.0"/>
    <col customWidth="1" min="5" max="5" width="15.0"/>
    <col customWidth="1" min="6" max="6" width="56.0"/>
    <col customWidth="1" min="7" max="7" width="14.0"/>
  </cols>
  <sheetData>
    <row r="1" ht="24.0" customHeight="1">
      <c r="B1" s="1" t="s">
        <v>284</v>
      </c>
      <c r="C1" s="2"/>
      <c r="D1" s="2"/>
      <c r="E1" s="2"/>
      <c r="F1" s="2"/>
    </row>
    <row r="2">
      <c r="B2" s="6" t="s">
        <v>285</v>
      </c>
    </row>
    <row r="4" ht="30.0" customHeight="1">
      <c r="B4" s="7" t="s">
        <v>286</v>
      </c>
      <c r="C4" s="7" t="s">
        <v>188</v>
      </c>
      <c r="D4" s="7" t="s">
        <v>287</v>
      </c>
      <c r="E4" s="7" t="s">
        <v>288</v>
      </c>
      <c r="F4" s="7" t="s">
        <v>289</v>
      </c>
      <c r="G4" s="7" t="s">
        <v>290</v>
      </c>
    </row>
    <row r="5">
      <c r="B5" s="23" t="s">
        <v>291</v>
      </c>
      <c r="C5" s="19" t="s">
        <v>34</v>
      </c>
      <c r="D5" s="14" t="s">
        <v>292</v>
      </c>
      <c r="E5" s="19" t="s">
        <v>293</v>
      </c>
      <c r="F5" s="14" t="s">
        <v>294</v>
      </c>
      <c r="G5" s="34" t="s">
        <v>295</v>
      </c>
    </row>
    <row r="6">
      <c r="B6" s="35" t="s">
        <v>296</v>
      </c>
      <c r="C6" s="36" t="s">
        <v>34</v>
      </c>
      <c r="D6" s="21" t="s">
        <v>297</v>
      </c>
      <c r="E6" s="36" t="s">
        <v>293</v>
      </c>
      <c r="F6" s="21" t="s">
        <v>298</v>
      </c>
      <c r="G6" s="34" t="s">
        <v>295</v>
      </c>
    </row>
    <row r="7">
      <c r="B7" s="23" t="s">
        <v>299</v>
      </c>
      <c r="C7" s="19" t="s">
        <v>34</v>
      </c>
      <c r="D7" s="14" t="s">
        <v>300</v>
      </c>
      <c r="E7" s="19" t="s">
        <v>104</v>
      </c>
      <c r="F7" s="14" t="s">
        <v>301</v>
      </c>
      <c r="G7" s="34" t="s">
        <v>295</v>
      </c>
    </row>
    <row r="8">
      <c r="B8" s="35" t="s">
        <v>302</v>
      </c>
      <c r="C8" s="36" t="s">
        <v>34</v>
      </c>
      <c r="D8" s="21" t="s">
        <v>303</v>
      </c>
      <c r="E8" s="36" t="s">
        <v>104</v>
      </c>
      <c r="F8" s="21" t="s">
        <v>304</v>
      </c>
      <c r="G8" s="34" t="s">
        <v>295</v>
      </c>
    </row>
    <row r="9">
      <c r="B9" s="23" t="s">
        <v>305</v>
      </c>
      <c r="C9" s="19" t="s">
        <v>40</v>
      </c>
      <c r="D9" s="14" t="s">
        <v>306</v>
      </c>
      <c r="E9" s="19" t="s">
        <v>104</v>
      </c>
      <c r="F9" s="14" t="s">
        <v>307</v>
      </c>
      <c r="G9" s="34" t="s">
        <v>295</v>
      </c>
    </row>
    <row r="10">
      <c r="B10" s="35" t="s">
        <v>308</v>
      </c>
      <c r="C10" s="36" t="s">
        <v>40</v>
      </c>
      <c r="D10" s="21" t="s">
        <v>309</v>
      </c>
      <c r="E10" s="36" t="s">
        <v>104</v>
      </c>
      <c r="F10" s="21" t="s">
        <v>310</v>
      </c>
      <c r="G10" s="34" t="s">
        <v>295</v>
      </c>
    </row>
    <row r="11">
      <c r="B11" s="23" t="s">
        <v>311</v>
      </c>
      <c r="C11" s="19" t="s">
        <v>41</v>
      </c>
      <c r="D11" s="14" t="s">
        <v>312</v>
      </c>
      <c r="E11" s="19" t="s">
        <v>293</v>
      </c>
      <c r="F11" s="14" t="s">
        <v>313</v>
      </c>
      <c r="G11" s="34" t="s">
        <v>295</v>
      </c>
    </row>
    <row r="12">
      <c r="B12" s="35" t="s">
        <v>314</v>
      </c>
      <c r="C12" s="36" t="s">
        <v>41</v>
      </c>
      <c r="D12" s="21" t="s">
        <v>315</v>
      </c>
      <c r="E12" s="36" t="s">
        <v>293</v>
      </c>
      <c r="F12" s="21" t="s">
        <v>316</v>
      </c>
      <c r="G12" s="34" t="s">
        <v>295</v>
      </c>
    </row>
    <row r="13">
      <c r="B13" s="23" t="s">
        <v>317</v>
      </c>
      <c r="C13" s="19" t="s">
        <v>41</v>
      </c>
      <c r="D13" s="14" t="s">
        <v>318</v>
      </c>
      <c r="E13" s="19" t="s">
        <v>293</v>
      </c>
      <c r="F13" s="14" t="s">
        <v>319</v>
      </c>
      <c r="G13" s="34" t="s">
        <v>295</v>
      </c>
    </row>
    <row r="14">
      <c r="B14" s="35" t="s">
        <v>320</v>
      </c>
      <c r="C14" s="36" t="s">
        <v>41</v>
      </c>
      <c r="D14" s="21" t="s">
        <v>321</v>
      </c>
      <c r="E14" s="36" t="s">
        <v>293</v>
      </c>
      <c r="F14" s="21" t="s">
        <v>322</v>
      </c>
      <c r="G14" s="34" t="s">
        <v>295</v>
      </c>
    </row>
    <row r="15">
      <c r="B15" s="23" t="s">
        <v>323</v>
      </c>
      <c r="C15" s="19" t="s">
        <v>43</v>
      </c>
      <c r="D15" s="14" t="s">
        <v>324</v>
      </c>
      <c r="E15" s="19" t="s">
        <v>293</v>
      </c>
      <c r="F15" s="14" t="s">
        <v>325</v>
      </c>
      <c r="G15" s="34" t="s">
        <v>295</v>
      </c>
    </row>
    <row r="16">
      <c r="B16" s="35" t="s">
        <v>326</v>
      </c>
      <c r="C16" s="36" t="s">
        <v>43</v>
      </c>
      <c r="D16" s="21" t="s">
        <v>327</v>
      </c>
      <c r="E16" s="36" t="s">
        <v>293</v>
      </c>
      <c r="F16" s="21" t="s">
        <v>328</v>
      </c>
      <c r="G16" s="34" t="s">
        <v>295</v>
      </c>
    </row>
    <row r="17">
      <c r="B17" s="23" t="s">
        <v>329</v>
      </c>
      <c r="C17" s="19" t="s">
        <v>43</v>
      </c>
      <c r="D17" s="14" t="s">
        <v>330</v>
      </c>
      <c r="E17" s="19" t="s">
        <v>331</v>
      </c>
      <c r="F17" s="14" t="s">
        <v>332</v>
      </c>
      <c r="G17" s="34" t="s">
        <v>295</v>
      </c>
    </row>
    <row r="18">
      <c r="B18" s="35" t="s">
        <v>333</v>
      </c>
      <c r="C18" s="36" t="s">
        <v>43</v>
      </c>
      <c r="D18" s="21" t="s">
        <v>334</v>
      </c>
      <c r="E18" s="36" t="s">
        <v>92</v>
      </c>
      <c r="F18" s="21" t="s">
        <v>335</v>
      </c>
      <c r="G18" s="34" t="s">
        <v>295</v>
      </c>
    </row>
    <row r="19">
      <c r="B19" s="23" t="s">
        <v>336</v>
      </c>
      <c r="C19" s="19" t="s">
        <v>43</v>
      </c>
      <c r="D19" s="14" t="s">
        <v>337</v>
      </c>
      <c r="E19" s="19" t="s">
        <v>331</v>
      </c>
      <c r="F19" s="14" t="s">
        <v>338</v>
      </c>
      <c r="G19" s="34" t="s">
        <v>295</v>
      </c>
    </row>
    <row r="20">
      <c r="B20" s="35" t="s">
        <v>339</v>
      </c>
      <c r="C20" s="36" t="s">
        <v>45</v>
      </c>
      <c r="D20" s="21" t="s">
        <v>340</v>
      </c>
      <c r="E20" s="36" t="s">
        <v>293</v>
      </c>
      <c r="F20" s="21" t="s">
        <v>341</v>
      </c>
      <c r="G20" s="34" t="s">
        <v>295</v>
      </c>
    </row>
    <row r="21" ht="15.75" customHeight="1">
      <c r="B21" s="23" t="s">
        <v>342</v>
      </c>
      <c r="C21" s="19" t="s">
        <v>45</v>
      </c>
      <c r="D21" s="14" t="s">
        <v>343</v>
      </c>
      <c r="E21" s="19" t="s">
        <v>293</v>
      </c>
      <c r="F21" s="14" t="s">
        <v>344</v>
      </c>
      <c r="G21" s="34" t="s">
        <v>295</v>
      </c>
    </row>
    <row r="22" ht="15.75" customHeight="1">
      <c r="B22" s="35" t="s">
        <v>345</v>
      </c>
      <c r="C22" s="36" t="s">
        <v>46</v>
      </c>
      <c r="D22" s="21" t="s">
        <v>346</v>
      </c>
      <c r="E22" s="36" t="s">
        <v>104</v>
      </c>
      <c r="F22" s="21" t="s">
        <v>347</v>
      </c>
      <c r="G22" s="34" t="s">
        <v>295</v>
      </c>
    </row>
    <row r="23" ht="15.75" customHeight="1">
      <c r="B23" s="23" t="s">
        <v>348</v>
      </c>
      <c r="C23" s="19" t="s">
        <v>46</v>
      </c>
      <c r="D23" s="14" t="s">
        <v>349</v>
      </c>
      <c r="E23" s="19" t="s">
        <v>293</v>
      </c>
      <c r="F23" s="14" t="s">
        <v>350</v>
      </c>
      <c r="G23" s="34" t="s">
        <v>295</v>
      </c>
    </row>
    <row r="24" ht="15.75" customHeight="1">
      <c r="B24" s="35" t="s">
        <v>351</v>
      </c>
      <c r="C24" s="36" t="s">
        <v>48</v>
      </c>
      <c r="D24" s="21" t="s">
        <v>352</v>
      </c>
      <c r="E24" s="36" t="s">
        <v>331</v>
      </c>
      <c r="F24" s="21" t="s">
        <v>353</v>
      </c>
      <c r="G24" s="34" t="s">
        <v>295</v>
      </c>
    </row>
    <row r="25" ht="15.75" customHeight="1">
      <c r="B25" s="23" t="s">
        <v>354</v>
      </c>
      <c r="C25" s="19" t="s">
        <v>48</v>
      </c>
      <c r="D25" s="14" t="s">
        <v>355</v>
      </c>
      <c r="E25" s="19" t="s">
        <v>293</v>
      </c>
      <c r="F25" s="14" t="s">
        <v>356</v>
      </c>
      <c r="G25" s="34" t="s">
        <v>295</v>
      </c>
    </row>
    <row r="26" ht="15.75" customHeight="1">
      <c r="B26" s="35" t="s">
        <v>357</v>
      </c>
      <c r="C26" s="36" t="s">
        <v>49</v>
      </c>
      <c r="D26" s="21" t="s">
        <v>358</v>
      </c>
      <c r="E26" s="36" t="s">
        <v>104</v>
      </c>
      <c r="F26" s="21" t="s">
        <v>359</v>
      </c>
      <c r="G26" s="34" t="s">
        <v>295</v>
      </c>
    </row>
    <row r="27" ht="15.75" customHeight="1">
      <c r="B27" s="23" t="s">
        <v>360</v>
      </c>
      <c r="C27" s="19" t="s">
        <v>49</v>
      </c>
      <c r="D27" s="14" t="s">
        <v>361</v>
      </c>
      <c r="E27" s="19" t="s">
        <v>293</v>
      </c>
      <c r="F27" s="14" t="s">
        <v>362</v>
      </c>
      <c r="G27" s="34" t="s">
        <v>295</v>
      </c>
    </row>
    <row r="28" ht="15.75" customHeight="1">
      <c r="B28" s="35" t="s">
        <v>363</v>
      </c>
      <c r="C28" s="36" t="s">
        <v>49</v>
      </c>
      <c r="D28" s="21" t="s">
        <v>364</v>
      </c>
      <c r="E28" s="36" t="s">
        <v>293</v>
      </c>
      <c r="F28" s="21" t="s">
        <v>365</v>
      </c>
      <c r="G28" s="34" t="s">
        <v>295</v>
      </c>
    </row>
    <row r="29" ht="15.75" customHeight="1">
      <c r="B29" s="23" t="s">
        <v>366</v>
      </c>
      <c r="C29" s="19" t="s">
        <v>49</v>
      </c>
      <c r="D29" s="14" t="s">
        <v>367</v>
      </c>
      <c r="E29" s="19" t="s">
        <v>331</v>
      </c>
      <c r="F29" s="14" t="s">
        <v>368</v>
      </c>
      <c r="G29" s="34" t="s">
        <v>295</v>
      </c>
    </row>
    <row r="30" ht="15.75" customHeight="1">
      <c r="B30" s="35" t="s">
        <v>369</v>
      </c>
      <c r="C30" s="36" t="s">
        <v>51</v>
      </c>
      <c r="D30" s="21" t="s">
        <v>370</v>
      </c>
      <c r="E30" s="36" t="s">
        <v>293</v>
      </c>
      <c r="F30" s="21" t="s">
        <v>371</v>
      </c>
      <c r="G30" s="34" t="s">
        <v>295</v>
      </c>
    </row>
    <row r="31" ht="15.75" customHeight="1">
      <c r="B31" s="23" t="s">
        <v>372</v>
      </c>
      <c r="C31" s="19" t="s">
        <v>51</v>
      </c>
      <c r="D31" s="14" t="s">
        <v>373</v>
      </c>
      <c r="E31" s="19" t="s">
        <v>293</v>
      </c>
      <c r="F31" s="14" t="s">
        <v>374</v>
      </c>
      <c r="G31" s="34" t="s">
        <v>295</v>
      </c>
    </row>
    <row r="32" ht="15.75" customHeight="1">
      <c r="B32" s="35" t="s">
        <v>375</v>
      </c>
      <c r="C32" s="36" t="s">
        <v>51</v>
      </c>
      <c r="D32" s="21" t="s">
        <v>376</v>
      </c>
      <c r="E32" s="36" t="s">
        <v>293</v>
      </c>
      <c r="F32" s="21" t="s">
        <v>377</v>
      </c>
      <c r="G32" s="34" t="s">
        <v>295</v>
      </c>
    </row>
    <row r="33" ht="15.75" customHeight="1">
      <c r="B33" s="23" t="s">
        <v>378</v>
      </c>
      <c r="C33" s="19" t="s">
        <v>51</v>
      </c>
      <c r="D33" s="14" t="s">
        <v>379</v>
      </c>
      <c r="E33" s="19" t="s">
        <v>63</v>
      </c>
      <c r="F33" s="14" t="s">
        <v>380</v>
      </c>
      <c r="G33" s="34" t="s">
        <v>295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4:$G$33"/>
  <mergeCells count="1">
    <mergeCell ref="B1:F1"/>
  </mergeCells>
  <dataValidations>
    <dataValidation type="list" allowBlank="1" showInputMessage="1" showErrorMessage="1" prompt="Valor no permitido - Elija Pendiente, Conforme, No conforme o Bloqueado." sqref="G5:G33">
      <formula1>"Pendiente,Conforme,No conforme,Bloqueado"</formula1>
    </dataValidation>
  </dataValidations>
  <printOptions horizontalCentered="1"/>
  <pageMargins bottom="0.4" footer="0.0" header="0.0" left="0.3" right="0.3" top="0.4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4.0"/>
    <col customWidth="1" min="3" max="3" width="14.0"/>
    <col customWidth="1" min="4" max="4" width="62.0"/>
    <col customWidth="1" min="5" max="6" width="8.71"/>
  </cols>
  <sheetData>
    <row r="1" ht="24.0" customHeight="1">
      <c r="B1" s="1" t="s">
        <v>381</v>
      </c>
      <c r="C1" s="2"/>
      <c r="D1" s="2"/>
    </row>
    <row r="2">
      <c r="B2" s="6" t="s">
        <v>382</v>
      </c>
    </row>
    <row r="4" ht="25.5" customHeight="1">
      <c r="B4" s="7" t="s">
        <v>383</v>
      </c>
      <c r="C4" s="7" t="s">
        <v>384</v>
      </c>
      <c r="D4" s="7" t="s">
        <v>385</v>
      </c>
    </row>
    <row r="5">
      <c r="B5" s="37" t="s">
        <v>386</v>
      </c>
      <c r="C5" s="38">
        <f>COUNTA('RF ↔ CUS'!$B$5:$B$33)</f>
        <v>29</v>
      </c>
      <c r="D5" s="39" t="s">
        <v>387</v>
      </c>
    </row>
    <row r="6">
      <c r="B6" s="37" t="s">
        <v>388</v>
      </c>
      <c r="C6" s="38">
        <f>COUNTIF('RF ↔ CUS'!$P$5:$P$33,"Cubierto")</f>
        <v>29</v>
      </c>
      <c r="D6" s="39" t="s">
        <v>389</v>
      </c>
    </row>
    <row r="7">
      <c r="B7" s="37" t="s">
        <v>390</v>
      </c>
      <c r="C7" s="38">
        <f>COUNTIF('RF ↔ CUS'!$P$5:$P$33,"SIN COBERTURA")</f>
        <v>0</v>
      </c>
      <c r="D7" s="39" t="s">
        <v>391</v>
      </c>
    </row>
    <row r="8">
      <c r="B8" s="37" t="s">
        <v>392</v>
      </c>
      <c r="C8" s="40">
        <f>IF(C5=0,0,C6/C5)</f>
        <v>1</v>
      </c>
      <c r="D8" s="39" t="s">
        <v>393</v>
      </c>
    </row>
    <row r="9">
      <c r="B9" s="37" t="s">
        <v>394</v>
      </c>
      <c r="C9" s="38">
        <f>COUNTA('CUS ↔ Entrega'!$B$5:$B$13)</f>
        <v>9</v>
      </c>
      <c r="D9" s="39" t="s">
        <v>395</v>
      </c>
    </row>
    <row r="10">
      <c r="B10" s="37" t="s">
        <v>396</v>
      </c>
      <c r="C10" s="38">
        <f>COUNTIF('RF ↔ CUS'!$F$34:$N$34,0)</f>
        <v>0</v>
      </c>
      <c r="D10" s="39" t="s">
        <v>397</v>
      </c>
    </row>
    <row r="11">
      <c r="B11" s="37" t="s">
        <v>398</v>
      </c>
      <c r="C11" s="38">
        <f>COUNTA('RNF ↔ CUS'!$B$5:$B$23)</f>
        <v>19</v>
      </c>
      <c r="D11" s="39" t="s">
        <v>399</v>
      </c>
    </row>
    <row r="12">
      <c r="B12" s="37" t="s">
        <v>400</v>
      </c>
      <c r="C12" s="38">
        <f>COUNTIF('RNF ↔ CUS'!$O$5:$O$23,0)</f>
        <v>0</v>
      </c>
      <c r="D12" s="39" t="s">
        <v>401</v>
      </c>
    </row>
    <row r="13">
      <c r="B13" s="37" t="s">
        <v>402</v>
      </c>
      <c r="C13" s="38">
        <f>COUNTA('PN ↔ CUS'!$B$5:$B$7)</f>
        <v>3</v>
      </c>
      <c r="D13" s="39" t="s">
        <v>403</v>
      </c>
    </row>
    <row r="14">
      <c r="B14" s="37" t="s">
        <v>404</v>
      </c>
      <c r="C14" s="38">
        <f>COUNTA('CUS ↔ Pruebas'!$B$5:$B$33)</f>
        <v>29</v>
      </c>
      <c r="D14" s="39" t="s">
        <v>405</v>
      </c>
    </row>
    <row r="15">
      <c r="B15" s="37" t="s">
        <v>406</v>
      </c>
      <c r="C15" s="38">
        <f>COUNTIF('CUS ↔ Pruebas'!$G$5:$G$33,"Conforme")</f>
        <v>0</v>
      </c>
      <c r="D15" s="39" t="s">
        <v>407</v>
      </c>
    </row>
    <row r="16">
      <c r="B16" s="37" t="s">
        <v>408</v>
      </c>
      <c r="C16" s="40">
        <f>IF(C14=0,0,C15/C14)</f>
        <v>0</v>
      </c>
      <c r="D16" s="39" t="s">
        <v>409</v>
      </c>
    </row>
    <row r="18">
      <c r="B18" s="8" t="s">
        <v>410</v>
      </c>
    </row>
    <row r="19" ht="21.75" customHeight="1">
      <c r="B19" s="7" t="s">
        <v>188</v>
      </c>
      <c r="C19" s="7" t="s">
        <v>411</v>
      </c>
      <c r="D19" s="7" t="s">
        <v>412</v>
      </c>
    </row>
    <row r="20">
      <c r="B20" s="15" t="s">
        <v>413</v>
      </c>
      <c r="C20" s="23">
        <f>'RF ↔ CUS'!F34</f>
        <v>3</v>
      </c>
      <c r="D20" s="14" t="s">
        <v>201</v>
      </c>
    </row>
    <row r="21" ht="15.75" customHeight="1">
      <c r="B21" s="22" t="s">
        <v>414</v>
      </c>
      <c r="C21" s="35">
        <f>'RF ↔ CUS'!G34</f>
        <v>1</v>
      </c>
      <c r="D21" s="21" t="s">
        <v>98</v>
      </c>
    </row>
    <row r="22" ht="15.75" customHeight="1">
      <c r="B22" s="15" t="s">
        <v>415</v>
      </c>
      <c r="C22" s="23">
        <f>'RF ↔ CUS'!H34</f>
        <v>8</v>
      </c>
      <c r="D22" s="14" t="s">
        <v>212</v>
      </c>
    </row>
    <row r="23" ht="15.75" customHeight="1">
      <c r="B23" s="22" t="s">
        <v>416</v>
      </c>
      <c r="C23" s="35">
        <f>'RF ↔ CUS'!I34</f>
        <v>5</v>
      </c>
      <c r="D23" s="21" t="s">
        <v>217</v>
      </c>
    </row>
    <row r="24" ht="15.75" customHeight="1">
      <c r="B24" s="15" t="s">
        <v>417</v>
      </c>
      <c r="C24" s="23">
        <f>'RF ↔ CUS'!J34</f>
        <v>1</v>
      </c>
      <c r="D24" s="14" t="s">
        <v>195</v>
      </c>
    </row>
    <row r="25" ht="15.75" customHeight="1">
      <c r="B25" s="22" t="s">
        <v>418</v>
      </c>
      <c r="C25" s="35">
        <f>'RF ↔ CUS'!K34</f>
        <v>2</v>
      </c>
      <c r="D25" s="21" t="s">
        <v>229</v>
      </c>
    </row>
    <row r="26" ht="15.75" customHeight="1">
      <c r="B26" s="15" t="s">
        <v>419</v>
      </c>
      <c r="C26" s="23">
        <f>'RF ↔ CUS'!L34</f>
        <v>1</v>
      </c>
      <c r="D26" s="14" t="s">
        <v>233</v>
      </c>
    </row>
    <row r="27" ht="15.75" customHeight="1">
      <c r="B27" s="22" t="s">
        <v>420</v>
      </c>
      <c r="C27" s="35">
        <f>'RF ↔ CUS'!M34</f>
        <v>4</v>
      </c>
      <c r="D27" s="21" t="s">
        <v>241</v>
      </c>
    </row>
    <row r="28" ht="15.75" customHeight="1">
      <c r="B28" s="15" t="s">
        <v>421</v>
      </c>
      <c r="C28" s="23">
        <f>'RF ↔ CUS'!N34</f>
        <v>4</v>
      </c>
      <c r="D28" s="14" t="s">
        <v>246</v>
      </c>
    </row>
    <row r="29" ht="15.75" customHeight="1"/>
    <row r="30" ht="15.75" customHeight="1"/>
    <row r="31" ht="15.0" customHeight="1">
      <c r="B31" s="41" t="s">
        <v>422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B31:D32"/>
  </mergeCells>
  <printOptions horizontalCentered="1"/>
  <pageMargins bottom="0.4" footer="0.0" header="0.0" left="0.3" right="0.3" top="0.4"/>
  <pageSetup fitToHeight="0" orientation="landscape"/>
  <drawing r:id="rId1"/>
</worksheet>
</file>